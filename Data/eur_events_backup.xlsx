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ZO\Documents\Code\Data\"/>
    </mc:Choice>
  </mc:AlternateContent>
  <xr:revisionPtr revIDLastSave="0" documentId="13_ncr:1_{9B447A67-EF2E-4EC8-92AE-D429380160EF}" xr6:coauthVersionLast="47" xr6:coauthVersionMax="47" xr10:uidLastSave="{00000000-0000-0000-0000-000000000000}"/>
  <bookViews>
    <workbookView xWindow="23490" yWindow="1875" windowWidth="26160" windowHeight="17130" activeTab="4" xr2:uid="{FEC654F6-CFFD-4558-B485-7C9A02ACEE52}"/>
  </bookViews>
  <sheets>
    <sheet name="cpi_yoy" sheetId="1" r:id="rId1"/>
    <sheet name="unempl_rate" sheetId="2" r:id="rId2"/>
    <sheet name="gdp" sheetId="3" r:id="rId3"/>
    <sheet name="bus_cond" sheetId="4" r:id="rId4"/>
    <sheet name="cb_target_rat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6" i="1" l="1"/>
  <c r="G316" i="2"/>
  <c r="F2" i="5" a="1"/>
  <c r="A2" i="5" a="1"/>
  <c r="A2" i="4" a="1"/>
  <c r="F2" i="3" a="1"/>
  <c r="A2" i="3" a="1"/>
  <c r="F2" i="2" a="1"/>
  <c r="A2" i="2" a="1"/>
  <c r="F2" i="1" a="1"/>
  <c r="A2" i="1" a="1"/>
  <c r="F2" i="4" a="1"/>
  <c r="F2" i="5" l="1"/>
  <c r="G2" i="5"/>
  <c r="A2" i="5"/>
  <c r="A2" i="4"/>
  <c r="F2" i="3"/>
  <c r="A2" i="3"/>
  <c r="F2" i="2"/>
  <c r="A2" i="2"/>
  <c r="F2" i="1"/>
  <c r="A2" i="1"/>
  <c r="F2" i="4"/>
  <c r="G20" i="2"/>
  <c r="G40" i="2"/>
  <c r="G60" i="2"/>
  <c r="G80" i="2"/>
  <c r="G100" i="2"/>
  <c r="G120" i="2"/>
  <c r="G140" i="2"/>
  <c r="G160" i="2"/>
  <c r="G180" i="2"/>
  <c r="G200" i="2"/>
  <c r="G220" i="2"/>
  <c r="G240" i="2"/>
  <c r="G260" i="2"/>
  <c r="G280" i="2"/>
  <c r="G300" i="2"/>
  <c r="G11" i="2"/>
  <c r="G192" i="2"/>
  <c r="G312" i="2"/>
  <c r="G93" i="2"/>
  <c r="G213" i="2"/>
  <c r="G74" i="2"/>
  <c r="G214" i="2"/>
  <c r="G55" i="2"/>
  <c r="G195" i="2"/>
  <c r="G76" i="2"/>
  <c r="G216" i="2"/>
  <c r="G57" i="2"/>
  <c r="G197" i="2"/>
  <c r="G98" i="2"/>
  <c r="G278" i="2"/>
  <c r="G79" i="2"/>
  <c r="G179" i="2"/>
  <c r="G279" i="2"/>
  <c r="G21" i="2"/>
  <c r="G41" i="2"/>
  <c r="G61" i="2"/>
  <c r="G81" i="2"/>
  <c r="G101" i="2"/>
  <c r="G121" i="2"/>
  <c r="G141" i="2"/>
  <c r="G161" i="2"/>
  <c r="G181" i="2"/>
  <c r="G201" i="2"/>
  <c r="G221" i="2"/>
  <c r="G241" i="2"/>
  <c r="G261" i="2"/>
  <c r="G281" i="2"/>
  <c r="G301" i="2"/>
  <c r="G44" i="2"/>
  <c r="G84" i="2"/>
  <c r="G144" i="2"/>
  <c r="G204" i="2"/>
  <c r="G264" i="2"/>
  <c r="G5" i="2"/>
  <c r="G105" i="2"/>
  <c r="G185" i="2"/>
  <c r="G245" i="2"/>
  <c r="G305" i="2"/>
  <c r="G127" i="2"/>
  <c r="G207" i="2"/>
  <c r="G287" i="2"/>
  <c r="G8" i="2"/>
  <c r="G168" i="2"/>
  <c r="G268" i="2"/>
  <c r="G29" i="2"/>
  <c r="G149" i="2"/>
  <c r="G289" i="2"/>
  <c r="G70" i="2"/>
  <c r="G90" i="2"/>
  <c r="G170" i="2"/>
  <c r="G230" i="2"/>
  <c r="G310" i="2"/>
  <c r="G91" i="2"/>
  <c r="G171" i="2"/>
  <c r="G211" i="2"/>
  <c r="G251" i="2"/>
  <c r="G311" i="2"/>
  <c r="G12" i="2"/>
  <c r="G92" i="2"/>
  <c r="G252" i="2"/>
  <c r="G53" i="2"/>
  <c r="G153" i="2"/>
  <c r="G233" i="2"/>
  <c r="G313" i="2"/>
  <c r="G94" i="2"/>
  <c r="G134" i="2"/>
  <c r="G234" i="2"/>
  <c r="G314" i="2"/>
  <c r="G95" i="2"/>
  <c r="G115" i="2"/>
  <c r="G155" i="2"/>
  <c r="G235" i="2"/>
  <c r="G275" i="2"/>
  <c r="G16" i="2"/>
  <c r="G116" i="2"/>
  <c r="G136" i="2"/>
  <c r="G196" i="2"/>
  <c r="G296" i="2"/>
  <c r="G37" i="2"/>
  <c r="G157" i="2"/>
  <c r="G277" i="2"/>
  <c r="G78" i="2"/>
  <c r="G158" i="2"/>
  <c r="G198" i="2"/>
  <c r="G258" i="2"/>
  <c r="G19" i="2"/>
  <c r="G119" i="2"/>
  <c r="G219" i="2"/>
  <c r="G22" i="2"/>
  <c r="G42" i="2"/>
  <c r="G62" i="2"/>
  <c r="G82" i="2"/>
  <c r="G102" i="2"/>
  <c r="G122" i="2"/>
  <c r="G142" i="2"/>
  <c r="G162" i="2"/>
  <c r="G182" i="2"/>
  <c r="G202" i="2"/>
  <c r="G222" i="2"/>
  <c r="G242" i="2"/>
  <c r="G262" i="2"/>
  <c r="G282" i="2"/>
  <c r="G302" i="2"/>
  <c r="G4" i="2"/>
  <c r="G104" i="2"/>
  <c r="G164" i="2"/>
  <c r="G224" i="2"/>
  <c r="G284" i="2"/>
  <c r="G25" i="2"/>
  <c r="G85" i="2"/>
  <c r="G125" i="2"/>
  <c r="G165" i="2"/>
  <c r="G205" i="2"/>
  <c r="G265" i="2"/>
  <c r="G67" i="2"/>
  <c r="G187" i="2"/>
  <c r="G267" i="2"/>
  <c r="G48" i="2"/>
  <c r="G88" i="2"/>
  <c r="G148" i="2"/>
  <c r="G228" i="2"/>
  <c r="G308" i="2"/>
  <c r="G69" i="2"/>
  <c r="G129" i="2"/>
  <c r="G209" i="2"/>
  <c r="G10" i="2"/>
  <c r="G110" i="2"/>
  <c r="G210" i="2"/>
  <c r="G290" i="2"/>
  <c r="G71" i="2"/>
  <c r="G151" i="2"/>
  <c r="G271" i="2"/>
  <c r="G52" i="2"/>
  <c r="G152" i="2"/>
  <c r="G272" i="2"/>
  <c r="G73" i="2"/>
  <c r="G173" i="2"/>
  <c r="G193" i="2"/>
  <c r="G293" i="2"/>
  <c r="G14" i="2"/>
  <c r="G114" i="2"/>
  <c r="G174" i="2"/>
  <c r="G274" i="2"/>
  <c r="G15" i="2"/>
  <c r="G135" i="2"/>
  <c r="G255" i="2"/>
  <c r="G36" i="2"/>
  <c r="G156" i="2"/>
  <c r="G256" i="2"/>
  <c r="G77" i="2"/>
  <c r="G117" i="2"/>
  <c r="G217" i="2"/>
  <c r="G297" i="2"/>
  <c r="G58" i="2"/>
  <c r="G178" i="2"/>
  <c r="G298" i="2"/>
  <c r="G59" i="2"/>
  <c r="G139" i="2"/>
  <c r="G239" i="2"/>
  <c r="G3" i="2"/>
  <c r="G23" i="2"/>
  <c r="G43" i="2"/>
  <c r="G63" i="2"/>
  <c r="G83" i="2"/>
  <c r="G103" i="2"/>
  <c r="G123" i="2"/>
  <c r="G143" i="2"/>
  <c r="G163" i="2"/>
  <c r="G183" i="2"/>
  <c r="G203" i="2"/>
  <c r="G223" i="2"/>
  <c r="G243" i="2"/>
  <c r="G263" i="2"/>
  <c r="G283" i="2"/>
  <c r="G303" i="2"/>
  <c r="G24" i="2"/>
  <c r="G64" i="2"/>
  <c r="G124" i="2"/>
  <c r="G184" i="2"/>
  <c r="G244" i="2"/>
  <c r="G304" i="2"/>
  <c r="G45" i="2"/>
  <c r="G65" i="2"/>
  <c r="G145" i="2"/>
  <c r="G225" i="2"/>
  <c r="G285" i="2"/>
  <c r="G87" i="2"/>
  <c r="G167" i="2"/>
  <c r="G227" i="2"/>
  <c r="G307" i="2"/>
  <c r="G68" i="2"/>
  <c r="G108" i="2"/>
  <c r="G188" i="2"/>
  <c r="G248" i="2"/>
  <c r="G49" i="2"/>
  <c r="G89" i="2"/>
  <c r="G169" i="2"/>
  <c r="G309" i="2"/>
  <c r="G50" i="2"/>
  <c r="G130" i="2"/>
  <c r="G190" i="2"/>
  <c r="G270" i="2"/>
  <c r="G31" i="2"/>
  <c r="G111" i="2"/>
  <c r="G191" i="2"/>
  <c r="G291" i="2"/>
  <c r="G72" i="2"/>
  <c r="G132" i="2"/>
  <c r="G172" i="2"/>
  <c r="G232" i="2"/>
  <c r="G292" i="2"/>
  <c r="G13" i="2"/>
  <c r="G113" i="2"/>
  <c r="G273" i="2"/>
  <c r="G34" i="2"/>
  <c r="G194" i="2"/>
  <c r="G294" i="2"/>
  <c r="G75" i="2"/>
  <c r="G175" i="2"/>
  <c r="G295" i="2"/>
  <c r="G96" i="2"/>
  <c r="G176" i="2"/>
  <c r="G276" i="2"/>
  <c r="G97" i="2"/>
  <c r="G177" i="2"/>
  <c r="G257" i="2"/>
  <c r="G38" i="2"/>
  <c r="G118" i="2"/>
  <c r="G218" i="2"/>
  <c r="G99" i="2"/>
  <c r="G199" i="2"/>
  <c r="G299" i="2"/>
  <c r="G6" i="2"/>
  <c r="G26" i="2"/>
  <c r="G46" i="2"/>
  <c r="G66" i="2"/>
  <c r="G86" i="2"/>
  <c r="G106" i="2"/>
  <c r="G126" i="2"/>
  <c r="G146" i="2"/>
  <c r="G166" i="2"/>
  <c r="G186" i="2"/>
  <c r="G206" i="2"/>
  <c r="G226" i="2"/>
  <c r="G246" i="2"/>
  <c r="G266" i="2"/>
  <c r="G286" i="2"/>
  <c r="G306" i="2"/>
  <c r="G7" i="2"/>
  <c r="G27" i="2"/>
  <c r="G47" i="2"/>
  <c r="G107" i="2"/>
  <c r="G147" i="2"/>
  <c r="G247" i="2"/>
  <c r="G28" i="2"/>
  <c r="G128" i="2"/>
  <c r="G208" i="2"/>
  <c r="G288" i="2"/>
  <c r="G9" i="2"/>
  <c r="G109" i="2"/>
  <c r="G189" i="2"/>
  <c r="G229" i="2"/>
  <c r="G249" i="2"/>
  <c r="G269" i="2"/>
  <c r="G30" i="2"/>
  <c r="G150" i="2"/>
  <c r="G250" i="2"/>
  <c r="G51" i="2"/>
  <c r="G131" i="2"/>
  <c r="G231" i="2"/>
  <c r="G32" i="2"/>
  <c r="G112" i="2"/>
  <c r="G212" i="2"/>
  <c r="G33" i="2"/>
  <c r="G133" i="2"/>
  <c r="G253" i="2"/>
  <c r="G54" i="2"/>
  <c r="G154" i="2"/>
  <c r="G254" i="2"/>
  <c r="G35" i="2"/>
  <c r="G215" i="2"/>
  <c r="G315" i="2"/>
  <c r="G56" i="2"/>
  <c r="G236" i="2"/>
  <c r="G17" i="2"/>
  <c r="G137" i="2"/>
  <c r="G237" i="2"/>
  <c r="G18" i="2"/>
  <c r="G138" i="2"/>
  <c r="G238" i="2"/>
  <c r="G39" i="2"/>
  <c r="G159" i="2"/>
  <c r="G259" i="2"/>
  <c r="G2" i="2"/>
  <c r="D50" i="2" s="1"/>
  <c r="G20" i="3"/>
  <c r="G40" i="3"/>
  <c r="G60" i="3"/>
  <c r="G80" i="3"/>
  <c r="G100" i="3"/>
  <c r="G120" i="3"/>
  <c r="G140" i="3"/>
  <c r="G160" i="3"/>
  <c r="G180" i="3"/>
  <c r="G200" i="3"/>
  <c r="G220" i="3"/>
  <c r="G240" i="3"/>
  <c r="G260" i="3"/>
  <c r="G280" i="3"/>
  <c r="G22" i="3"/>
  <c r="G42" i="3"/>
  <c r="G62" i="3"/>
  <c r="G102" i="3"/>
  <c r="G162" i="3"/>
  <c r="G242" i="3"/>
  <c r="G23" i="3"/>
  <c r="G63" i="3"/>
  <c r="G103" i="3"/>
  <c r="G123" i="3"/>
  <c r="G163" i="3"/>
  <c r="G203" i="3"/>
  <c r="G243" i="3"/>
  <c r="G263" i="3"/>
  <c r="G4" i="3"/>
  <c r="G124" i="3"/>
  <c r="G224" i="3"/>
  <c r="G264" i="3"/>
  <c r="G5" i="3"/>
  <c r="G45" i="3"/>
  <c r="G85" i="3"/>
  <c r="G125" i="3"/>
  <c r="G165" i="3"/>
  <c r="G205" i="3"/>
  <c r="G245" i="3"/>
  <c r="G26" i="3"/>
  <c r="G46" i="3"/>
  <c r="G86" i="3"/>
  <c r="G146" i="3"/>
  <c r="G166" i="3"/>
  <c r="G206" i="3"/>
  <c r="G226" i="3"/>
  <c r="G266" i="3"/>
  <c r="G27" i="3"/>
  <c r="G87" i="3"/>
  <c r="G127" i="3"/>
  <c r="G187" i="3"/>
  <c r="G227" i="3"/>
  <c r="G248" i="3"/>
  <c r="G31" i="3"/>
  <c r="G111" i="3"/>
  <c r="G231" i="3"/>
  <c r="G271" i="3"/>
  <c r="G32" i="3"/>
  <c r="G172" i="3"/>
  <c r="G53" i="3"/>
  <c r="G213" i="3"/>
  <c r="G14" i="3"/>
  <c r="G154" i="3"/>
  <c r="G274" i="3"/>
  <c r="G95" i="3"/>
  <c r="G235" i="3"/>
  <c r="G116" i="3"/>
  <c r="G216" i="3"/>
  <c r="G97" i="3"/>
  <c r="G178" i="3"/>
  <c r="G99" i="3"/>
  <c r="G21" i="3"/>
  <c r="G41" i="3"/>
  <c r="G61" i="3"/>
  <c r="G81" i="3"/>
  <c r="G101" i="3"/>
  <c r="G121" i="3"/>
  <c r="G141" i="3"/>
  <c r="G161" i="3"/>
  <c r="G181" i="3"/>
  <c r="G201" i="3"/>
  <c r="G221" i="3"/>
  <c r="G241" i="3"/>
  <c r="G261" i="3"/>
  <c r="G82" i="3"/>
  <c r="G122" i="3"/>
  <c r="G142" i="3"/>
  <c r="G182" i="3"/>
  <c r="G202" i="3"/>
  <c r="G222" i="3"/>
  <c r="G262" i="3"/>
  <c r="G3" i="3"/>
  <c r="G43" i="3"/>
  <c r="G83" i="3"/>
  <c r="G143" i="3"/>
  <c r="G183" i="3"/>
  <c r="G223" i="3"/>
  <c r="G24" i="3"/>
  <c r="G44" i="3"/>
  <c r="G64" i="3"/>
  <c r="G84" i="3"/>
  <c r="G104" i="3"/>
  <c r="G144" i="3"/>
  <c r="G164" i="3"/>
  <c r="G184" i="3"/>
  <c r="G204" i="3"/>
  <c r="G244" i="3"/>
  <c r="G25" i="3"/>
  <c r="G65" i="3"/>
  <c r="G105" i="3"/>
  <c r="G145" i="3"/>
  <c r="G185" i="3"/>
  <c r="G225" i="3"/>
  <c r="G265" i="3"/>
  <c r="G6" i="3"/>
  <c r="G66" i="3"/>
  <c r="G106" i="3"/>
  <c r="G126" i="3"/>
  <c r="G186" i="3"/>
  <c r="G246" i="3"/>
  <c r="G47" i="3"/>
  <c r="G107" i="3"/>
  <c r="G147" i="3"/>
  <c r="G207" i="3"/>
  <c r="G267" i="3"/>
  <c r="G11" i="3"/>
  <c r="G191" i="3"/>
  <c r="G72" i="3"/>
  <c r="G132" i="3"/>
  <c r="G232" i="3"/>
  <c r="G33" i="3"/>
  <c r="G233" i="3"/>
  <c r="G34" i="3"/>
  <c r="G234" i="3"/>
  <c r="G75" i="3"/>
  <c r="G136" i="3"/>
  <c r="G236" i="3"/>
  <c r="G37" i="3"/>
  <c r="G237" i="3"/>
  <c r="G198" i="3"/>
  <c r="G139" i="3"/>
  <c r="G239" i="3"/>
  <c r="G217" i="3"/>
  <c r="G7" i="3"/>
  <c r="G67" i="3"/>
  <c r="G167" i="3"/>
  <c r="G247" i="3"/>
  <c r="G71" i="3"/>
  <c r="G151" i="3"/>
  <c r="G12" i="3"/>
  <c r="G212" i="3"/>
  <c r="G73" i="3"/>
  <c r="G253" i="3"/>
  <c r="G114" i="3"/>
  <c r="G254" i="3"/>
  <c r="G15" i="3"/>
  <c r="G195" i="3"/>
  <c r="G16" i="3"/>
  <c r="G196" i="3"/>
  <c r="G137" i="3"/>
  <c r="G277" i="3"/>
  <c r="G78" i="3"/>
  <c r="G278" i="3"/>
  <c r="G79" i="3"/>
  <c r="G199" i="3"/>
  <c r="G8" i="3"/>
  <c r="G28" i="3"/>
  <c r="G48" i="3"/>
  <c r="G68" i="3"/>
  <c r="G88" i="3"/>
  <c r="G108" i="3"/>
  <c r="G128" i="3"/>
  <c r="G148" i="3"/>
  <c r="G168" i="3"/>
  <c r="G188" i="3"/>
  <c r="G208" i="3"/>
  <c r="G228" i="3"/>
  <c r="G268" i="3"/>
  <c r="G51" i="3"/>
  <c r="G171" i="3"/>
  <c r="G92" i="3"/>
  <c r="G192" i="3"/>
  <c r="G272" i="3"/>
  <c r="G113" i="3"/>
  <c r="G173" i="3"/>
  <c r="G74" i="3"/>
  <c r="G194" i="3"/>
  <c r="G35" i="3"/>
  <c r="G215" i="3"/>
  <c r="G156" i="3"/>
  <c r="G77" i="3"/>
  <c r="G138" i="3"/>
  <c r="G179" i="3"/>
  <c r="G9" i="3"/>
  <c r="G29" i="3"/>
  <c r="G49" i="3"/>
  <c r="G69" i="3"/>
  <c r="G89" i="3"/>
  <c r="G109" i="3"/>
  <c r="G129" i="3"/>
  <c r="G149" i="3"/>
  <c r="G169" i="3"/>
  <c r="G189" i="3"/>
  <c r="G209" i="3"/>
  <c r="G229" i="3"/>
  <c r="G249" i="3"/>
  <c r="G269" i="3"/>
  <c r="G130" i="3"/>
  <c r="G210" i="3"/>
  <c r="G250" i="3"/>
  <c r="G270" i="3"/>
  <c r="G91" i="3"/>
  <c r="G131" i="3"/>
  <c r="G251" i="3"/>
  <c r="G52" i="3"/>
  <c r="G152" i="3"/>
  <c r="G252" i="3"/>
  <c r="G93" i="3"/>
  <c r="G193" i="3"/>
  <c r="G54" i="3"/>
  <c r="G214" i="3"/>
  <c r="G55" i="3"/>
  <c r="G175" i="3"/>
  <c r="G36" i="3"/>
  <c r="G276" i="3"/>
  <c r="G117" i="3"/>
  <c r="G98" i="3"/>
  <c r="G119" i="3"/>
  <c r="G219" i="3"/>
  <c r="G10" i="3"/>
  <c r="G30" i="3"/>
  <c r="G50" i="3"/>
  <c r="G70" i="3"/>
  <c r="G90" i="3"/>
  <c r="G110" i="3"/>
  <c r="G150" i="3"/>
  <c r="G170" i="3"/>
  <c r="G190" i="3"/>
  <c r="G230" i="3"/>
  <c r="G211" i="3"/>
  <c r="G112" i="3"/>
  <c r="G133" i="3"/>
  <c r="G94" i="3"/>
  <c r="G155" i="3"/>
  <c r="G96" i="3"/>
  <c r="G197" i="3"/>
  <c r="G218" i="3"/>
  <c r="G159" i="3"/>
  <c r="G153" i="3"/>
  <c r="G174" i="3"/>
  <c r="G115" i="3"/>
  <c r="G255" i="3"/>
  <c r="G76" i="3"/>
  <c r="G176" i="3"/>
  <c r="G57" i="3"/>
  <c r="G257" i="3"/>
  <c r="G118" i="3"/>
  <c r="G258" i="3"/>
  <c r="G59" i="3"/>
  <c r="G259" i="3"/>
  <c r="G38" i="3"/>
  <c r="G13" i="3"/>
  <c r="G273" i="3"/>
  <c r="G134" i="3"/>
  <c r="G135" i="3"/>
  <c r="G275" i="3"/>
  <c r="G56" i="3"/>
  <c r="G256" i="3"/>
  <c r="G157" i="3"/>
  <c r="G158" i="3"/>
  <c r="G19" i="3"/>
  <c r="G279" i="3"/>
  <c r="G58" i="3"/>
  <c r="G17" i="3"/>
  <c r="G177" i="3"/>
  <c r="G39" i="3"/>
  <c r="G18" i="3"/>
  <c r="G238" i="3"/>
  <c r="G2" i="3"/>
  <c r="G20" i="4"/>
  <c r="G40" i="4"/>
  <c r="G60" i="4"/>
  <c r="G80" i="4"/>
  <c r="G100" i="4"/>
  <c r="G120" i="4"/>
  <c r="G140" i="4"/>
  <c r="G160" i="4"/>
  <c r="G180" i="4"/>
  <c r="G200" i="4"/>
  <c r="G220" i="4"/>
  <c r="G2" i="4"/>
  <c r="G21" i="4"/>
  <c r="G41" i="4"/>
  <c r="G61" i="4"/>
  <c r="G81" i="4"/>
  <c r="G101" i="4"/>
  <c r="G121" i="4"/>
  <c r="G141" i="4"/>
  <c r="G161" i="4"/>
  <c r="G181" i="4"/>
  <c r="G201" i="4"/>
  <c r="G221" i="4"/>
  <c r="G206" i="4"/>
  <c r="G134" i="4"/>
  <c r="G75" i="4"/>
  <c r="G116" i="4"/>
  <c r="G77" i="4"/>
  <c r="G118" i="4"/>
  <c r="G79" i="4"/>
  <c r="G199" i="4"/>
  <c r="G138" i="4"/>
  <c r="G22" i="4"/>
  <c r="G42" i="4"/>
  <c r="G62" i="4"/>
  <c r="G82" i="4"/>
  <c r="G102" i="4"/>
  <c r="G122" i="4"/>
  <c r="G142" i="4"/>
  <c r="G162" i="4"/>
  <c r="G182" i="4"/>
  <c r="G202" i="4"/>
  <c r="G222" i="4"/>
  <c r="G25" i="4"/>
  <c r="G125" i="4"/>
  <c r="G185" i="4"/>
  <c r="G225" i="4"/>
  <c r="G6" i="4"/>
  <c r="G126" i="4"/>
  <c r="G186" i="4"/>
  <c r="G74" i="4"/>
  <c r="G15" i="4"/>
  <c r="G215" i="4"/>
  <c r="G156" i="4"/>
  <c r="G216" i="4"/>
  <c r="G57" i="4"/>
  <c r="G197" i="4"/>
  <c r="G18" i="4"/>
  <c r="G218" i="4"/>
  <c r="G19" i="4"/>
  <c r="G159" i="4"/>
  <c r="G3" i="4"/>
  <c r="G23" i="4"/>
  <c r="G43" i="4"/>
  <c r="G63" i="4"/>
  <c r="G83" i="4"/>
  <c r="G103" i="4"/>
  <c r="G123" i="4"/>
  <c r="G143" i="4"/>
  <c r="G163" i="4"/>
  <c r="G183" i="4"/>
  <c r="G203" i="4"/>
  <c r="G223" i="4"/>
  <c r="G45" i="4"/>
  <c r="G65" i="4"/>
  <c r="G105" i="4"/>
  <c r="G165" i="4"/>
  <c r="G205" i="4"/>
  <c r="G26" i="4"/>
  <c r="G66" i="4"/>
  <c r="G86" i="4"/>
  <c r="G146" i="4"/>
  <c r="G14" i="4"/>
  <c r="G135" i="4"/>
  <c r="G56" i="4"/>
  <c r="G97" i="4"/>
  <c r="G38" i="4"/>
  <c r="G59" i="4"/>
  <c r="G4" i="4"/>
  <c r="G24" i="4"/>
  <c r="G44" i="4"/>
  <c r="G64" i="4"/>
  <c r="G84" i="4"/>
  <c r="G104" i="4"/>
  <c r="G124" i="4"/>
  <c r="G144" i="4"/>
  <c r="G164" i="4"/>
  <c r="G184" i="4"/>
  <c r="G204" i="4"/>
  <c r="G224" i="4"/>
  <c r="G5" i="4"/>
  <c r="G85" i="4"/>
  <c r="G145" i="4"/>
  <c r="G46" i="4"/>
  <c r="G106" i="4"/>
  <c r="G166" i="4"/>
  <c r="G54" i="4"/>
  <c r="G115" i="4"/>
  <c r="G36" i="4"/>
  <c r="G137" i="4"/>
  <c r="G58" i="4"/>
  <c r="G39" i="4"/>
  <c r="G219" i="4"/>
  <c r="G7" i="4"/>
  <c r="G27" i="4"/>
  <c r="G47" i="4"/>
  <c r="G67" i="4"/>
  <c r="G87" i="4"/>
  <c r="G107" i="4"/>
  <c r="G127" i="4"/>
  <c r="G147" i="4"/>
  <c r="G167" i="4"/>
  <c r="G187" i="4"/>
  <c r="G207" i="4"/>
  <c r="G8" i="4"/>
  <c r="G28" i="4"/>
  <c r="G48" i="4"/>
  <c r="G68" i="4"/>
  <c r="G88" i="4"/>
  <c r="G108" i="4"/>
  <c r="G128" i="4"/>
  <c r="G148" i="4"/>
  <c r="G168" i="4"/>
  <c r="G188" i="4"/>
  <c r="G208" i="4"/>
  <c r="G194" i="4"/>
  <c r="G175" i="4"/>
  <c r="G196" i="4"/>
  <c r="G177" i="4"/>
  <c r="G178" i="4"/>
  <c r="G139" i="4"/>
  <c r="G158" i="4"/>
  <c r="G9" i="4"/>
  <c r="G29" i="4"/>
  <c r="G49" i="4"/>
  <c r="G69" i="4"/>
  <c r="G89" i="4"/>
  <c r="G109" i="4"/>
  <c r="G129" i="4"/>
  <c r="G149" i="4"/>
  <c r="G169" i="4"/>
  <c r="G189" i="4"/>
  <c r="G209" i="4"/>
  <c r="G93" i="4"/>
  <c r="G193" i="4"/>
  <c r="G174" i="4"/>
  <c r="G195" i="4"/>
  <c r="G176" i="4"/>
  <c r="G157" i="4"/>
  <c r="G198" i="4"/>
  <c r="G119" i="4"/>
  <c r="G10" i="4"/>
  <c r="G30" i="4"/>
  <c r="G50" i="4"/>
  <c r="G70" i="4"/>
  <c r="G90" i="4"/>
  <c r="G110" i="4"/>
  <c r="G130" i="4"/>
  <c r="G150" i="4"/>
  <c r="G170" i="4"/>
  <c r="G190" i="4"/>
  <c r="G210" i="4"/>
  <c r="G13" i="4"/>
  <c r="G113" i="4"/>
  <c r="G173" i="4"/>
  <c r="G34" i="4"/>
  <c r="G155" i="4"/>
  <c r="G16" i="4"/>
  <c r="G117" i="4"/>
  <c r="G98" i="4"/>
  <c r="G11" i="4"/>
  <c r="G31" i="4"/>
  <c r="G51" i="4"/>
  <c r="G71" i="4"/>
  <c r="G91" i="4"/>
  <c r="G111" i="4"/>
  <c r="G131" i="4"/>
  <c r="G151" i="4"/>
  <c r="G171" i="4"/>
  <c r="G191" i="4"/>
  <c r="G211" i="4"/>
  <c r="G73" i="4"/>
  <c r="G153" i="4"/>
  <c r="G213" i="4"/>
  <c r="G94" i="4"/>
  <c r="G55" i="4"/>
  <c r="G96" i="4"/>
  <c r="G17" i="4"/>
  <c r="G78" i="4"/>
  <c r="G99" i="4"/>
  <c r="G179" i="4"/>
  <c r="G12" i="4"/>
  <c r="G32" i="4"/>
  <c r="G52" i="4"/>
  <c r="G72" i="4"/>
  <c r="G92" i="4"/>
  <c r="G112" i="4"/>
  <c r="G132" i="4"/>
  <c r="G152" i="4"/>
  <c r="G172" i="4"/>
  <c r="G192" i="4"/>
  <c r="G212" i="4"/>
  <c r="G53" i="4"/>
  <c r="G133" i="4"/>
  <c r="G114" i="4"/>
  <c r="G214" i="4"/>
  <c r="G35" i="4"/>
  <c r="G76" i="4"/>
  <c r="G37" i="4"/>
  <c r="G217" i="4"/>
  <c r="G33" i="4"/>
  <c r="G154" i="4"/>
  <c r="G95" i="4"/>
  <c r="G136" i="4"/>
  <c r="G19" i="5"/>
  <c r="G39" i="5"/>
  <c r="G59" i="5"/>
  <c r="G79" i="5"/>
  <c r="G99" i="5"/>
  <c r="G119" i="5"/>
  <c r="G139" i="5"/>
  <c r="G159" i="5"/>
  <c r="G179" i="5"/>
  <c r="G199" i="5"/>
  <c r="G219" i="5"/>
  <c r="G239" i="5"/>
  <c r="G259" i="5"/>
  <c r="G279" i="5"/>
  <c r="G120" i="5"/>
  <c r="G160" i="5"/>
  <c r="G180" i="5"/>
  <c r="G200" i="5"/>
  <c r="G220" i="5"/>
  <c r="G240" i="5"/>
  <c r="G260" i="5"/>
  <c r="G280" i="5"/>
  <c r="G81" i="5"/>
  <c r="G241" i="5"/>
  <c r="G281" i="5"/>
  <c r="G64" i="5"/>
  <c r="G184" i="5"/>
  <c r="G284" i="5"/>
  <c r="G208" i="5"/>
  <c r="G149" i="5"/>
  <c r="G289" i="5"/>
  <c r="G50" i="5"/>
  <c r="G270" i="5"/>
  <c r="G214" i="5"/>
  <c r="G175" i="5"/>
  <c r="G275" i="5"/>
  <c r="G116" i="5"/>
  <c r="G276" i="5"/>
  <c r="G20" i="5"/>
  <c r="G40" i="5"/>
  <c r="G60" i="5"/>
  <c r="G80" i="5"/>
  <c r="G100" i="5"/>
  <c r="G140" i="5"/>
  <c r="G24" i="5"/>
  <c r="G244" i="5"/>
  <c r="G228" i="5"/>
  <c r="G129" i="5"/>
  <c r="G70" i="5"/>
  <c r="G290" i="5"/>
  <c r="G254" i="5"/>
  <c r="G195" i="5"/>
  <c r="G136" i="5"/>
  <c r="G21" i="5"/>
  <c r="G41" i="5"/>
  <c r="G61" i="5"/>
  <c r="G101" i="5"/>
  <c r="G121" i="5"/>
  <c r="G141" i="5"/>
  <c r="G161" i="5"/>
  <c r="G181" i="5"/>
  <c r="G201" i="5"/>
  <c r="G221" i="5"/>
  <c r="G261" i="5"/>
  <c r="G124" i="5"/>
  <c r="G9" i="5"/>
  <c r="G110" i="5"/>
  <c r="G15" i="5"/>
  <c r="G22" i="5"/>
  <c r="G42" i="5"/>
  <c r="G62" i="5"/>
  <c r="G82" i="5"/>
  <c r="G102" i="5"/>
  <c r="G122" i="5"/>
  <c r="G142" i="5"/>
  <c r="G162" i="5"/>
  <c r="G182" i="5"/>
  <c r="G202" i="5"/>
  <c r="G222" i="5"/>
  <c r="G242" i="5"/>
  <c r="G262" i="5"/>
  <c r="G282" i="5"/>
  <c r="G84" i="5"/>
  <c r="G204" i="5"/>
  <c r="G128" i="5"/>
  <c r="G29" i="5"/>
  <c r="G209" i="5"/>
  <c r="G269" i="5"/>
  <c r="G30" i="5"/>
  <c r="G130" i="5"/>
  <c r="G230" i="5"/>
  <c r="G154" i="5"/>
  <c r="G75" i="5"/>
  <c r="G16" i="5"/>
  <c r="G236" i="5"/>
  <c r="G3" i="5"/>
  <c r="G23" i="5"/>
  <c r="G43" i="5"/>
  <c r="G63" i="5"/>
  <c r="G83" i="5"/>
  <c r="G103" i="5"/>
  <c r="G123" i="5"/>
  <c r="G143" i="5"/>
  <c r="G163" i="5"/>
  <c r="G183" i="5"/>
  <c r="G203" i="5"/>
  <c r="G223" i="5"/>
  <c r="G243" i="5"/>
  <c r="G263" i="5"/>
  <c r="G283" i="5"/>
  <c r="G44" i="5"/>
  <c r="G164" i="5"/>
  <c r="G224" i="5"/>
  <c r="G148" i="5"/>
  <c r="G69" i="5"/>
  <c r="G229" i="5"/>
  <c r="G10" i="5"/>
  <c r="G210" i="5"/>
  <c r="G174" i="5"/>
  <c r="G155" i="5"/>
  <c r="G76" i="5"/>
  <c r="G216" i="5"/>
  <c r="G4" i="5"/>
  <c r="G104" i="5"/>
  <c r="G144" i="5"/>
  <c r="G264" i="5"/>
  <c r="G89" i="5"/>
  <c r="G190" i="5"/>
  <c r="G135" i="5"/>
  <c r="G196" i="5"/>
  <c r="G5" i="5"/>
  <c r="G25" i="5"/>
  <c r="G45" i="5"/>
  <c r="G65" i="5"/>
  <c r="G85" i="5"/>
  <c r="G105" i="5"/>
  <c r="G125" i="5"/>
  <c r="G145" i="5"/>
  <c r="G165" i="5"/>
  <c r="G185" i="5"/>
  <c r="G205" i="5"/>
  <c r="G225" i="5"/>
  <c r="G245" i="5"/>
  <c r="G265" i="5"/>
  <c r="G285" i="5"/>
  <c r="G48" i="5"/>
  <c r="G288" i="5"/>
  <c r="G169" i="5"/>
  <c r="G170" i="5"/>
  <c r="G35" i="5"/>
  <c r="G6" i="5"/>
  <c r="G26" i="5"/>
  <c r="G46" i="5"/>
  <c r="G66" i="5"/>
  <c r="G86" i="5"/>
  <c r="G106" i="5"/>
  <c r="G126" i="5"/>
  <c r="G146" i="5"/>
  <c r="G166" i="5"/>
  <c r="G186" i="5"/>
  <c r="G206" i="5"/>
  <c r="G226" i="5"/>
  <c r="G246" i="5"/>
  <c r="G266" i="5"/>
  <c r="G286" i="5"/>
  <c r="G7" i="5"/>
  <c r="G27" i="5"/>
  <c r="G47" i="5"/>
  <c r="G67" i="5"/>
  <c r="G87" i="5"/>
  <c r="G107" i="5"/>
  <c r="G127" i="5"/>
  <c r="G147" i="5"/>
  <c r="G167" i="5"/>
  <c r="G187" i="5"/>
  <c r="G207" i="5"/>
  <c r="G227" i="5"/>
  <c r="G247" i="5"/>
  <c r="G267" i="5"/>
  <c r="G287" i="5"/>
  <c r="G8" i="5"/>
  <c r="G88" i="5"/>
  <c r="G168" i="5"/>
  <c r="G268" i="5"/>
  <c r="G189" i="5"/>
  <c r="G150" i="5"/>
  <c r="G55" i="5"/>
  <c r="G109" i="5"/>
  <c r="G250" i="5"/>
  <c r="G215" i="5"/>
  <c r="G56" i="5"/>
  <c r="G28" i="5"/>
  <c r="G68" i="5"/>
  <c r="G108" i="5"/>
  <c r="G188" i="5"/>
  <c r="G248" i="5"/>
  <c r="G49" i="5"/>
  <c r="G249" i="5"/>
  <c r="G90" i="5"/>
  <c r="G234" i="5"/>
  <c r="G235" i="5"/>
  <c r="G36" i="5"/>
  <c r="G11" i="5"/>
  <c r="G31" i="5"/>
  <c r="G51" i="5"/>
  <c r="G71" i="5"/>
  <c r="G91" i="5"/>
  <c r="G111" i="5"/>
  <c r="G131" i="5"/>
  <c r="G151" i="5"/>
  <c r="G171" i="5"/>
  <c r="G191" i="5"/>
  <c r="G211" i="5"/>
  <c r="G231" i="5"/>
  <c r="G251" i="5"/>
  <c r="G271" i="5"/>
  <c r="G291" i="5"/>
  <c r="G12" i="5"/>
  <c r="G32" i="5"/>
  <c r="G52" i="5"/>
  <c r="G72" i="5"/>
  <c r="G92" i="5"/>
  <c r="G112" i="5"/>
  <c r="G132" i="5"/>
  <c r="G152" i="5"/>
  <c r="G172" i="5"/>
  <c r="G192" i="5"/>
  <c r="G212" i="5"/>
  <c r="G232" i="5"/>
  <c r="G252" i="5"/>
  <c r="G272" i="5"/>
  <c r="G292" i="5"/>
  <c r="G13" i="5"/>
  <c r="G33" i="5"/>
  <c r="G53" i="5"/>
  <c r="G73" i="5"/>
  <c r="G113" i="5"/>
  <c r="G133" i="5"/>
  <c r="G153" i="5"/>
  <c r="G173" i="5"/>
  <c r="G193" i="5"/>
  <c r="G213" i="5"/>
  <c r="G233" i="5"/>
  <c r="G253" i="5"/>
  <c r="G273" i="5"/>
  <c r="G293" i="5"/>
  <c r="G14" i="5"/>
  <c r="G54" i="5"/>
  <c r="G74" i="5"/>
  <c r="G94" i="5"/>
  <c r="G114" i="5"/>
  <c r="G134" i="5"/>
  <c r="G194" i="5"/>
  <c r="G274" i="5"/>
  <c r="G115" i="5"/>
  <c r="G96" i="5"/>
  <c r="G256" i="5"/>
  <c r="G93" i="5"/>
  <c r="G34" i="5"/>
  <c r="G95" i="5"/>
  <c r="G156" i="5"/>
  <c r="G17" i="5"/>
  <c r="G37" i="5"/>
  <c r="G57" i="5"/>
  <c r="G77" i="5"/>
  <c r="G97" i="5"/>
  <c r="G117" i="5"/>
  <c r="G137" i="5"/>
  <c r="G157" i="5"/>
  <c r="G177" i="5"/>
  <c r="G197" i="5"/>
  <c r="G217" i="5"/>
  <c r="G237" i="5"/>
  <c r="G257" i="5"/>
  <c r="G277" i="5"/>
  <c r="G255" i="5"/>
  <c r="G18" i="5"/>
  <c r="G38" i="5"/>
  <c r="G58" i="5"/>
  <c r="G78" i="5"/>
  <c r="G98" i="5"/>
  <c r="G118" i="5"/>
  <c r="G138" i="5"/>
  <c r="G158" i="5"/>
  <c r="G178" i="5"/>
  <c r="G198" i="5"/>
  <c r="G218" i="5"/>
  <c r="G238" i="5"/>
  <c r="G258" i="5"/>
  <c r="G278" i="5"/>
  <c r="G176" i="5"/>
  <c r="G2" i="1"/>
  <c r="G301" i="1"/>
  <c r="G241" i="1"/>
  <c r="G201" i="1"/>
  <c r="G171" i="1"/>
  <c r="G151" i="1"/>
  <c r="G131" i="1"/>
  <c r="G111" i="1"/>
  <c r="G91" i="1"/>
  <c r="G71" i="1"/>
  <c r="G51" i="1"/>
  <c r="G312" i="1"/>
  <c r="G302" i="1"/>
  <c r="G292" i="1"/>
  <c r="G282" i="1"/>
  <c r="G272" i="1"/>
  <c r="G262" i="1"/>
  <c r="G252" i="1"/>
  <c r="G242" i="1"/>
  <c r="G232" i="1"/>
  <c r="G222" i="1"/>
  <c r="G212" i="1"/>
  <c r="G202" i="1"/>
  <c r="G192" i="1"/>
  <c r="G182" i="1"/>
  <c r="G172" i="1"/>
  <c r="G162" i="1"/>
  <c r="G152" i="1"/>
  <c r="G142" i="1"/>
  <c r="G132" i="1"/>
  <c r="G122" i="1"/>
  <c r="G112" i="1"/>
  <c r="G102" i="1"/>
  <c r="G92" i="1"/>
  <c r="G82" i="1"/>
  <c r="G72" i="1"/>
  <c r="G62" i="1"/>
  <c r="G52" i="1"/>
  <c r="G42" i="1"/>
  <c r="G32" i="1"/>
  <c r="G22" i="1"/>
  <c r="G12" i="1"/>
  <c r="G311" i="1"/>
  <c r="G291" i="1"/>
  <c r="G281" i="1"/>
  <c r="G271" i="1"/>
  <c r="G261" i="1"/>
  <c r="G251" i="1"/>
  <c r="G231" i="1"/>
  <c r="G221" i="1"/>
  <c r="G211" i="1"/>
  <c r="G191" i="1"/>
  <c r="G181" i="1"/>
  <c r="G161" i="1"/>
  <c r="G141" i="1"/>
  <c r="G121" i="1"/>
  <c r="G101" i="1"/>
  <c r="G81" i="1"/>
  <c r="G61" i="1"/>
  <c r="G41" i="1"/>
  <c r="G31" i="1"/>
  <c r="G21" i="1"/>
  <c r="G11" i="1"/>
  <c r="G283" i="1"/>
  <c r="G254" i="1"/>
  <c r="G225" i="1"/>
  <c r="G197" i="1"/>
  <c r="G184" i="1"/>
  <c r="G157" i="1"/>
  <c r="G144" i="1"/>
  <c r="G117" i="1"/>
  <c r="G104" i="1"/>
  <c r="G77" i="1"/>
  <c r="G64" i="1"/>
  <c r="G37" i="1"/>
  <c r="G253" i="1"/>
  <c r="G196" i="1"/>
  <c r="G143" i="1"/>
  <c r="G103" i="1"/>
  <c r="G63" i="1"/>
  <c r="G308" i="1"/>
  <c r="G279" i="1"/>
  <c r="G266" i="1"/>
  <c r="G250" i="1"/>
  <c r="G237" i="1"/>
  <c r="G195" i="1"/>
  <c r="G168" i="1"/>
  <c r="G115" i="1"/>
  <c r="G88" i="1"/>
  <c r="G75" i="1"/>
  <c r="G23" i="1"/>
  <c r="G294" i="1"/>
  <c r="G223" i="1"/>
  <c r="G140" i="1"/>
  <c r="G60" i="1"/>
  <c r="G307" i="1"/>
  <c r="G249" i="1"/>
  <c r="G220" i="1"/>
  <c r="G74" i="1"/>
  <c r="G20" i="1"/>
  <c r="G293" i="1"/>
  <c r="G264" i="1"/>
  <c r="G235" i="1"/>
  <c r="G139" i="1"/>
  <c r="G99" i="1"/>
  <c r="G306" i="1"/>
  <c r="G277" i="1"/>
  <c r="G248" i="1"/>
  <c r="G219" i="1"/>
  <c r="G309" i="1"/>
  <c r="G296" i="1"/>
  <c r="G280" i="1"/>
  <c r="G267" i="1"/>
  <c r="G238" i="1"/>
  <c r="G209" i="1"/>
  <c r="G169" i="1"/>
  <c r="G129" i="1"/>
  <c r="G89" i="1"/>
  <c r="G49" i="1"/>
  <c r="G24" i="1"/>
  <c r="G10" i="1"/>
  <c r="G295" i="1"/>
  <c r="G224" i="1"/>
  <c r="G183" i="1"/>
  <c r="G156" i="1"/>
  <c r="G116" i="1"/>
  <c r="G76" i="1"/>
  <c r="G36" i="1"/>
  <c r="G208" i="1"/>
  <c r="G155" i="1"/>
  <c r="G128" i="1"/>
  <c r="G48" i="1"/>
  <c r="G35" i="1"/>
  <c r="G9" i="1"/>
  <c r="G265" i="1"/>
  <c r="G180" i="1"/>
  <c r="G100" i="1"/>
  <c r="G278" i="1"/>
  <c r="G236" i="1"/>
  <c r="G207" i="1"/>
  <c r="G194" i="1"/>
  <c r="G167" i="1"/>
  <c r="G154" i="1"/>
  <c r="G127" i="1"/>
  <c r="G114" i="1"/>
  <c r="G87" i="1"/>
  <c r="G47" i="1"/>
  <c r="G34" i="1"/>
  <c r="G8" i="1"/>
  <c r="G179" i="1"/>
  <c r="G59" i="1"/>
  <c r="G290" i="1"/>
  <c r="G206" i="1"/>
  <c r="G305" i="1"/>
  <c r="G285" i="1"/>
  <c r="G234" i="1"/>
  <c r="G214" i="1"/>
  <c r="G189" i="1"/>
  <c r="G170" i="1"/>
  <c r="G148" i="1"/>
  <c r="G126" i="1"/>
  <c r="G85" i="1"/>
  <c r="G67" i="1"/>
  <c r="G258" i="1"/>
  <c r="G166" i="1"/>
  <c r="G125" i="1"/>
  <c r="G107" i="1"/>
  <c r="G44" i="1"/>
  <c r="G26" i="1"/>
  <c r="G5" i="1"/>
  <c r="G304" i="1"/>
  <c r="G233" i="1"/>
  <c r="G213" i="1"/>
  <c r="G188" i="1"/>
  <c r="G165" i="1"/>
  <c r="G147" i="1"/>
  <c r="G84" i="1"/>
  <c r="G66" i="1"/>
  <c r="G257" i="1"/>
  <c r="G230" i="1"/>
  <c r="G210" i="1"/>
  <c r="G124" i="1"/>
  <c r="G106" i="1"/>
  <c r="G65" i="1"/>
  <c r="G43" i="1"/>
  <c r="G25" i="1"/>
  <c r="G4" i="1"/>
  <c r="G303" i="1"/>
  <c r="G205" i="1"/>
  <c r="G187" i="1"/>
  <c r="G164" i="1"/>
  <c r="G146" i="1"/>
  <c r="G105" i="1"/>
  <c r="G83" i="1"/>
  <c r="G19" i="1"/>
  <c r="G276" i="1"/>
  <c r="G123" i="1"/>
  <c r="G40" i="1"/>
  <c r="G204" i="1"/>
  <c r="G163" i="1"/>
  <c r="G80" i="1"/>
  <c r="G120" i="1"/>
  <c r="G39" i="1"/>
  <c r="G270" i="1"/>
  <c r="G226" i="1"/>
  <c r="G177" i="1"/>
  <c r="G118" i="1"/>
  <c r="G55" i="1"/>
  <c r="G33" i="1"/>
  <c r="G245" i="1"/>
  <c r="G158" i="1"/>
  <c r="G289" i="1"/>
  <c r="G244" i="1"/>
  <c r="G198" i="1"/>
  <c r="G94" i="1"/>
  <c r="G288" i="1"/>
  <c r="G53" i="1"/>
  <c r="G314" i="1"/>
  <c r="G174" i="1"/>
  <c r="G93" i="1"/>
  <c r="G13" i="1"/>
  <c r="G260" i="1"/>
  <c r="G240" i="1"/>
  <c r="G133" i="1"/>
  <c r="G50" i="1"/>
  <c r="G7" i="1"/>
  <c r="G313" i="1"/>
  <c r="G173" i="1"/>
  <c r="G68" i="1"/>
  <c r="G310" i="1"/>
  <c r="G45" i="1"/>
  <c r="G284" i="1"/>
  <c r="G256" i="1"/>
  <c r="G229" i="1"/>
  <c r="G145" i="1"/>
  <c r="G3" i="1"/>
  <c r="G275" i="1"/>
  <c r="G186" i="1"/>
  <c r="G58" i="1"/>
  <c r="G18" i="1"/>
  <c r="G299" i="1"/>
  <c r="G228" i="1"/>
  <c r="G185" i="1"/>
  <c r="G98" i="1"/>
  <c r="G138" i="1"/>
  <c r="G79" i="1"/>
  <c r="G57" i="1"/>
  <c r="G298" i="1"/>
  <c r="G247" i="1"/>
  <c r="G119" i="1"/>
  <c r="G38" i="1"/>
  <c r="G200" i="1"/>
  <c r="G159" i="1"/>
  <c r="G137" i="1"/>
  <c r="G78" i="1"/>
  <c r="G56" i="1"/>
  <c r="G16" i="1"/>
  <c r="G246" i="1"/>
  <c r="G96" i="1"/>
  <c r="G95" i="1"/>
  <c r="G218" i="1"/>
  <c r="G135" i="1"/>
  <c r="G54" i="1"/>
  <c r="G30" i="1"/>
  <c r="G315" i="1"/>
  <c r="G175" i="1"/>
  <c r="G268" i="1"/>
  <c r="G243" i="1"/>
  <c r="G193" i="1"/>
  <c r="G287" i="1"/>
  <c r="G216" i="1"/>
  <c r="G28" i="1"/>
  <c r="G215" i="1"/>
  <c r="G149" i="1"/>
  <c r="G90" i="1"/>
  <c r="G259" i="1"/>
  <c r="G239" i="1"/>
  <c r="G130" i="1"/>
  <c r="G108" i="1"/>
  <c r="G27" i="1"/>
  <c r="G300" i="1"/>
  <c r="G255" i="1"/>
  <c r="G274" i="1"/>
  <c r="G203" i="1"/>
  <c r="G160" i="1"/>
  <c r="G17" i="1"/>
  <c r="G227" i="1"/>
  <c r="G178" i="1"/>
  <c r="G97" i="1"/>
  <c r="G273" i="1"/>
  <c r="G297" i="1"/>
  <c r="G199" i="1"/>
  <c r="G136" i="1"/>
  <c r="G73" i="1"/>
  <c r="G15" i="1"/>
  <c r="G269" i="1"/>
  <c r="G176" i="1"/>
  <c r="G113" i="1"/>
  <c r="G153" i="1"/>
  <c r="G70" i="1"/>
  <c r="G14" i="1"/>
  <c r="G217" i="1"/>
  <c r="G134" i="1"/>
  <c r="G110" i="1"/>
  <c r="G29" i="1"/>
  <c r="G263" i="1"/>
  <c r="G150" i="1"/>
  <c r="G69" i="1"/>
  <c r="G109" i="1"/>
  <c r="G190" i="1"/>
  <c r="G46" i="1"/>
  <c r="G286" i="1"/>
  <c r="G86" i="1"/>
  <c r="G6" i="1"/>
  <c r="D105" i="5" l="1"/>
  <c r="D71" i="5"/>
  <c r="D244" i="5"/>
  <c r="D5" i="5"/>
  <c r="D41" i="5"/>
  <c r="D208" i="5"/>
  <c r="D203" i="5"/>
  <c r="D185" i="5"/>
  <c r="D23" i="5"/>
  <c r="D257" i="5"/>
  <c r="D195" i="5"/>
  <c r="D212" i="5"/>
  <c r="D136" i="5"/>
  <c r="D54" i="5"/>
  <c r="D266" i="5"/>
  <c r="D63" i="3"/>
  <c r="D99" i="3"/>
  <c r="D4" i="3"/>
  <c r="D29" i="3"/>
  <c r="D101" i="3"/>
  <c r="D33" i="3"/>
  <c r="D2" i="3"/>
  <c r="D14" i="3"/>
  <c r="D82" i="3"/>
  <c r="D294" i="2"/>
  <c r="D212" i="2"/>
  <c r="D232" i="2"/>
  <c r="D28" i="2"/>
  <c r="D307" i="2"/>
  <c r="D81" i="2"/>
  <c r="D312" i="2"/>
  <c r="D303" i="2"/>
  <c r="D153" i="2"/>
  <c r="D166" i="2"/>
  <c r="D173" i="2"/>
  <c r="D295" i="2"/>
  <c r="D86" i="2"/>
  <c r="D207" i="2"/>
  <c r="D193" i="2"/>
  <c r="D182" i="2"/>
  <c r="D168" i="2"/>
  <c r="D77" i="2"/>
  <c r="D171" i="2"/>
  <c r="D213" i="2"/>
  <c r="D269" i="2"/>
  <c r="D37" i="2"/>
  <c r="D145" i="2"/>
  <c r="D247" i="2"/>
  <c r="D191" i="2"/>
  <c r="D253" i="2"/>
  <c r="D185" i="2"/>
  <c r="D124" i="2"/>
  <c r="D225" i="2"/>
  <c r="D177" i="2"/>
  <c r="D129" i="2"/>
  <c r="D249" i="2"/>
  <c r="D259" i="2"/>
  <c r="D16" i="2"/>
  <c r="D197" i="2"/>
  <c r="D310" i="2"/>
  <c r="D223" i="2"/>
  <c r="D245" i="2"/>
  <c r="D141" i="2"/>
  <c r="D178" i="2"/>
  <c r="D289" i="2"/>
  <c r="D47" i="2"/>
  <c r="D104" i="2"/>
  <c r="D260" i="2"/>
  <c r="D264" i="2"/>
  <c r="D224" i="2"/>
  <c r="D151" i="2"/>
  <c r="D296" i="2"/>
  <c r="D119" i="2"/>
  <c r="D227" i="2"/>
  <c r="D199" i="2"/>
  <c r="D65" i="2"/>
  <c r="D267" i="2"/>
  <c r="D271" i="2"/>
  <c r="D14" i="2"/>
  <c r="D243" i="2"/>
  <c r="D240" i="2"/>
  <c r="D257" i="2"/>
  <c r="D237" i="2"/>
  <c r="D9" i="2"/>
  <c r="D125" i="2"/>
  <c r="D190" i="2"/>
  <c r="D44" i="2"/>
  <c r="D13" i="2"/>
  <c r="D187" i="2"/>
  <c r="D287" i="2"/>
  <c r="D34" i="2"/>
  <c r="D301" i="2"/>
  <c r="D38" i="2"/>
  <c r="D116" i="2"/>
  <c r="D263" i="2"/>
  <c r="D8" i="2"/>
  <c r="D128" i="2"/>
  <c r="D290" i="2"/>
  <c r="D71" i="2"/>
  <c r="D91" i="2"/>
  <c r="D131" i="2"/>
  <c r="D291" i="2"/>
  <c r="D30" i="2"/>
  <c r="D52" i="2"/>
  <c r="D54" i="2"/>
  <c r="D120" i="2"/>
  <c r="D45" i="2"/>
  <c r="D142" i="2"/>
  <c r="D29" i="2"/>
  <c r="D4" i="2"/>
  <c r="D158" i="2"/>
  <c r="D126" i="2"/>
  <c r="D252" i="2"/>
  <c r="D292" i="2"/>
  <c r="D277" i="2"/>
  <c r="D7" i="2"/>
  <c r="D210" i="2"/>
  <c r="D285" i="2"/>
  <c r="D135" i="2"/>
  <c r="D111" i="2"/>
  <c r="D26" i="2"/>
  <c r="D79" i="2"/>
  <c r="D110" i="2"/>
  <c r="D200" i="2"/>
  <c r="D155" i="2"/>
  <c r="D282" i="2"/>
  <c r="D170" i="2"/>
  <c r="D228" i="2"/>
  <c r="D46" i="2"/>
  <c r="D165" i="2"/>
  <c r="D78" i="2"/>
  <c r="D23" i="2"/>
  <c r="D109" i="2"/>
  <c r="D202" i="2"/>
  <c r="D74" i="2"/>
  <c r="D169" i="2"/>
  <c r="D92" i="2"/>
  <c r="D206" i="2"/>
  <c r="D130" i="2"/>
  <c r="D134" i="2"/>
  <c r="D123" i="2"/>
  <c r="D138" i="2"/>
  <c r="D258" i="2"/>
  <c r="D99" i="2"/>
  <c r="D192" i="2"/>
  <c r="D215" i="2"/>
  <c r="D314" i="2"/>
  <c r="D42" i="2"/>
  <c r="D76" i="2"/>
  <c r="D272" i="2"/>
  <c r="D251" i="2"/>
  <c r="D51" i="2"/>
  <c r="D60" i="2"/>
  <c r="D144" i="2"/>
  <c r="D27" i="2"/>
  <c r="D140" i="2"/>
  <c r="D72" i="2"/>
  <c r="D96" i="2"/>
  <c r="D238" i="2"/>
  <c r="D114" i="2"/>
  <c r="D106" i="2"/>
  <c r="D112" i="2"/>
  <c r="D150" i="2"/>
  <c r="D152" i="2"/>
  <c r="D214" i="2"/>
  <c r="D98" i="2"/>
  <c r="D196" i="2"/>
  <c r="D201" i="2"/>
  <c r="D157" i="2"/>
  <c r="D289" i="1"/>
  <c r="D64" i="2"/>
  <c r="D233" i="2"/>
  <c r="D103" i="2"/>
  <c r="D43" i="2"/>
  <c r="D105" i="2"/>
  <c r="D184" i="2"/>
  <c r="D255" i="2"/>
  <c r="D283" i="2"/>
  <c r="D95" i="2"/>
  <c r="D235" i="2"/>
  <c r="D216" i="2"/>
  <c r="D244" i="2"/>
  <c r="D281" i="2"/>
  <c r="D75" i="2"/>
  <c r="D261" i="2"/>
  <c r="D40" i="2"/>
  <c r="D41" i="2"/>
  <c r="D10" i="2"/>
  <c r="D136" i="2"/>
  <c r="D137" i="2"/>
  <c r="D300" i="2"/>
  <c r="D315" i="2"/>
  <c r="D67" i="2"/>
  <c r="D132" i="2"/>
  <c r="D273" i="2"/>
  <c r="D163" i="2"/>
  <c r="D101" i="2"/>
  <c r="D308" i="2"/>
  <c r="D21" i="2"/>
  <c r="D55" i="2"/>
  <c r="D288" i="2"/>
  <c r="D218" i="2"/>
  <c r="D246" i="2"/>
  <c r="D279" i="2"/>
  <c r="D217" i="2"/>
  <c r="D19" i="2"/>
  <c r="D56" i="2"/>
  <c r="D35" i="2"/>
  <c r="D25" i="2"/>
  <c r="D186" i="2"/>
  <c r="D161" i="2"/>
  <c r="D189" i="2"/>
  <c r="D87" i="2"/>
  <c r="D11" i="2"/>
  <c r="D293" i="2"/>
  <c r="D188" i="2"/>
  <c r="D167" i="2"/>
  <c r="D31" i="2"/>
  <c r="D172" i="2"/>
  <c r="D313" i="2"/>
  <c r="D219" i="2"/>
  <c r="D304" i="2"/>
  <c r="D305" i="2"/>
  <c r="D17" i="2"/>
  <c r="D48" i="2"/>
  <c r="D83" i="2"/>
  <c r="D15" i="2"/>
  <c r="D146" i="2"/>
  <c r="D160" i="2"/>
  <c r="D102" i="2"/>
  <c r="D69" i="2"/>
  <c r="D62" i="2"/>
  <c r="D94" i="2"/>
  <c r="D204" i="2"/>
  <c r="D208" i="2"/>
  <c r="D148" i="2"/>
  <c r="D164" i="2"/>
  <c r="D198" i="2"/>
  <c r="D226" i="2"/>
  <c r="D176" i="2"/>
  <c r="D180" i="2"/>
  <c r="D5" i="2"/>
  <c r="D297" i="2"/>
  <c r="D209" i="2"/>
  <c r="D149" i="2"/>
  <c r="D222" i="2"/>
  <c r="D256" i="2"/>
  <c r="D57" i="2"/>
  <c r="D229" i="2"/>
  <c r="D63" i="2"/>
  <c r="D2" i="2"/>
  <c r="D6" i="2"/>
  <c r="D84" i="2"/>
  <c r="D179" i="2"/>
  <c r="D298" i="2"/>
  <c r="D97" i="2"/>
  <c r="D280" i="2"/>
  <c r="D309" i="2"/>
  <c r="D117" i="2"/>
  <c r="D286" i="2"/>
  <c r="D239" i="2"/>
  <c r="D122" i="2"/>
  <c r="D70" i="2"/>
  <c r="D211" i="2"/>
  <c r="D33" i="2"/>
  <c r="D234" i="2"/>
  <c r="D299" i="2"/>
  <c r="D90" i="2"/>
  <c r="D231" i="2"/>
  <c r="D53" i="2"/>
  <c r="D254" i="2"/>
  <c r="D241" i="2"/>
  <c r="D100" i="2"/>
  <c r="D181" i="2"/>
  <c r="D306" i="2"/>
  <c r="D115" i="2"/>
  <c r="D143" i="2"/>
  <c r="D24" i="2"/>
  <c r="D156" i="2"/>
  <c r="D36" i="2"/>
  <c r="D302" i="2"/>
  <c r="D133" i="2"/>
  <c r="D274" i="2"/>
  <c r="D242" i="2"/>
  <c r="D265" i="2"/>
  <c r="D18" i="2"/>
  <c r="D175" i="2"/>
  <c r="D59" i="2"/>
  <c r="D266" i="2"/>
  <c r="D88" i="2"/>
  <c r="D276" i="2"/>
  <c r="D107" i="2"/>
  <c r="D311" i="2"/>
  <c r="D73" i="2"/>
  <c r="D154" i="2"/>
  <c r="D162" i="2"/>
  <c r="D236" i="2"/>
  <c r="D195" i="2"/>
  <c r="D183" i="2"/>
  <c r="D80" i="2"/>
  <c r="D20" i="2"/>
  <c r="D284" i="2"/>
  <c r="D58" i="2"/>
  <c r="D262" i="2"/>
  <c r="D159" i="2"/>
  <c r="D68" i="2"/>
  <c r="D3" i="2"/>
  <c r="D39" i="2"/>
  <c r="D127" i="2"/>
  <c r="D12" i="2"/>
  <c r="D174" i="2"/>
  <c r="D220" i="2"/>
  <c r="D61" i="2"/>
  <c r="D221" i="2"/>
  <c r="D268" i="2"/>
  <c r="D108" i="2"/>
  <c r="D49" i="2"/>
  <c r="D316" i="2"/>
  <c r="D85" i="2"/>
  <c r="D89" i="2"/>
  <c r="D275" i="2"/>
  <c r="D203" i="2"/>
  <c r="D230" i="2"/>
  <c r="D250" i="2"/>
  <c r="D93" i="2"/>
  <c r="D147" i="2"/>
  <c r="D270" i="2"/>
  <c r="D32" i="2"/>
  <c r="D113" i="2"/>
  <c r="D194" i="2"/>
  <c r="D278" i="2"/>
  <c r="D205" i="2"/>
  <c r="D248" i="2"/>
  <c r="D66" i="2"/>
  <c r="D139" i="2"/>
  <c r="D82" i="2"/>
  <c r="D22" i="2"/>
  <c r="D118" i="2"/>
  <c r="D121" i="2"/>
  <c r="D60" i="3"/>
  <c r="D67" i="3"/>
  <c r="D72" i="3"/>
  <c r="D80" i="3"/>
  <c r="D62" i="3"/>
  <c r="D100" i="3"/>
  <c r="D46" i="3"/>
  <c r="D92" i="3"/>
  <c r="D41" i="3"/>
  <c r="D42" i="3"/>
  <c r="D23" i="3"/>
  <c r="D43" i="3"/>
  <c r="D61" i="3"/>
  <c r="D8" i="3"/>
  <c r="D13" i="3"/>
  <c r="D81" i="3"/>
  <c r="D22" i="3"/>
  <c r="D83" i="3"/>
  <c r="D93" i="3"/>
  <c r="D74" i="3"/>
  <c r="D56" i="3"/>
  <c r="D15" i="3"/>
  <c r="D64" i="3"/>
  <c r="D10" i="3"/>
  <c r="D48" i="3"/>
  <c r="D84" i="3"/>
  <c r="D30" i="3"/>
  <c r="D55" i="3"/>
  <c r="D17" i="3"/>
  <c r="D47" i="3"/>
  <c r="D50" i="3"/>
  <c r="D95" i="3"/>
  <c r="D18" i="3"/>
  <c r="D44" i="3"/>
  <c r="D70" i="3"/>
  <c r="D36" i="3"/>
  <c r="D39" i="3"/>
  <c r="D6" i="3"/>
  <c r="D73" i="3"/>
  <c r="D66" i="3"/>
  <c r="D54" i="3"/>
  <c r="D88" i="3"/>
  <c r="D90" i="3"/>
  <c r="D76" i="3"/>
  <c r="D20" i="3"/>
  <c r="D53" i="3"/>
  <c r="D89" i="3"/>
  <c r="D87" i="3"/>
  <c r="D94" i="3"/>
  <c r="D35" i="3"/>
  <c r="D57" i="3"/>
  <c r="D21" i="3"/>
  <c r="D49" i="3"/>
  <c r="D34" i="3"/>
  <c r="D68" i="3"/>
  <c r="D11" i="3"/>
  <c r="D75" i="3"/>
  <c r="D16" i="3"/>
  <c r="D31" i="3"/>
  <c r="D97" i="3"/>
  <c r="D9" i="3"/>
  <c r="D24" i="3"/>
  <c r="D96" i="3"/>
  <c r="D5" i="3"/>
  <c r="D51" i="3"/>
  <c r="D38" i="3"/>
  <c r="D28" i="3"/>
  <c r="D27" i="3"/>
  <c r="D25" i="3"/>
  <c r="D71" i="3"/>
  <c r="D78" i="3"/>
  <c r="D3" i="3"/>
  <c r="D69" i="3"/>
  <c r="D45" i="3"/>
  <c r="D19" i="3"/>
  <c r="D26" i="3"/>
  <c r="D37" i="3"/>
  <c r="D77" i="3"/>
  <c r="D91" i="3"/>
  <c r="D58" i="3"/>
  <c r="D65" i="3"/>
  <c r="D12" i="3"/>
  <c r="D59" i="3"/>
  <c r="D7" i="3"/>
  <c r="D98" i="3"/>
  <c r="D85" i="3"/>
  <c r="D32" i="3"/>
  <c r="D79" i="3"/>
  <c r="D86" i="3"/>
  <c r="D52" i="3"/>
  <c r="D40" i="3"/>
  <c r="D97" i="4"/>
  <c r="D43" i="4"/>
  <c r="D95" i="4"/>
  <c r="D29" i="4"/>
  <c r="D186" i="4"/>
  <c r="D25" i="4"/>
  <c r="D141" i="4"/>
  <c r="D152" i="4"/>
  <c r="D22" i="4"/>
  <c r="D216" i="4"/>
  <c r="D78" i="4"/>
  <c r="D166" i="4"/>
  <c r="D92" i="4"/>
  <c r="D156" i="4"/>
  <c r="D200" i="4"/>
  <c r="D117" i="4"/>
  <c r="D72" i="4"/>
  <c r="D35" i="4"/>
  <c r="D208" i="4"/>
  <c r="D137" i="4"/>
  <c r="D50" i="4"/>
  <c r="D214" i="4"/>
  <c r="D168" i="4"/>
  <c r="D146" i="4"/>
  <c r="D204" i="4"/>
  <c r="D101" i="4"/>
  <c r="D32" i="4"/>
  <c r="D157" i="4"/>
  <c r="D62" i="4"/>
  <c r="D174" i="4"/>
  <c r="D148" i="4"/>
  <c r="D126" i="4"/>
  <c r="D184" i="4"/>
  <c r="D81" i="4"/>
  <c r="D171" i="4"/>
  <c r="D180" i="4"/>
  <c r="D115" i="4"/>
  <c r="D123" i="4"/>
  <c r="D128" i="4"/>
  <c r="D61" i="4"/>
  <c r="D111" i="4"/>
  <c r="D202" i="4"/>
  <c r="D86" i="4"/>
  <c r="D144" i="4"/>
  <c r="D41" i="4"/>
  <c r="D51" i="4"/>
  <c r="D140" i="4"/>
  <c r="D154" i="4"/>
  <c r="D142" i="4"/>
  <c r="D177" i="4"/>
  <c r="D49" i="4"/>
  <c r="D114" i="4"/>
  <c r="D106" i="4"/>
  <c r="D164" i="4"/>
  <c r="D160" i="4"/>
  <c r="D194" i="4"/>
  <c r="D162" i="4"/>
  <c r="D3" i="4"/>
  <c r="D38" i="4"/>
  <c r="D54" i="4"/>
  <c r="D108" i="4"/>
  <c r="D197" i="4"/>
  <c r="D31" i="4"/>
  <c r="D193" i="4"/>
  <c r="D88" i="4"/>
  <c r="D66" i="4"/>
  <c r="D124" i="4"/>
  <c r="D21" i="4"/>
  <c r="D190" i="4"/>
  <c r="D120" i="4"/>
  <c r="D94" i="4"/>
  <c r="D122" i="4"/>
  <c r="D11" i="4"/>
  <c r="D18" i="4"/>
  <c r="D133" i="4"/>
  <c r="D28" i="4"/>
  <c r="D46" i="4"/>
  <c r="D104" i="4"/>
  <c r="D196" i="4"/>
  <c r="D150" i="4"/>
  <c r="D100" i="4"/>
  <c r="D173" i="4"/>
  <c r="D219" i="4"/>
  <c r="D60" i="4"/>
  <c r="D36" i="4"/>
  <c r="D40" i="4"/>
  <c r="D119" i="4"/>
  <c r="D192" i="4"/>
  <c r="D91" i="4"/>
  <c r="D74" i="4"/>
  <c r="D189" i="4"/>
  <c r="D116" i="4"/>
  <c r="D105" i="4"/>
  <c r="D139" i="4"/>
  <c r="D15" i="4"/>
  <c r="D4" i="4"/>
  <c r="D93" i="4"/>
  <c r="D207" i="4"/>
  <c r="D26" i="4"/>
  <c r="D84" i="4"/>
  <c r="D136" i="4"/>
  <c r="D110" i="4"/>
  <c r="D80" i="4"/>
  <c r="D113" i="4"/>
  <c r="D199" i="4"/>
  <c r="D187" i="4"/>
  <c r="D6" i="4"/>
  <c r="D64" i="4"/>
  <c r="D76" i="4"/>
  <c r="D90" i="4"/>
  <c r="D132" i="4"/>
  <c r="D159" i="4"/>
  <c r="D167" i="4"/>
  <c r="D225" i="4"/>
  <c r="D149" i="4"/>
  <c r="D135" i="4"/>
  <c r="D39" i="4"/>
  <c r="D179" i="4"/>
  <c r="D129" i="4"/>
  <c r="D16" i="4"/>
  <c r="D96" i="4"/>
  <c r="D212" i="4"/>
  <c r="D44" i="4"/>
  <c r="D211" i="4"/>
  <c r="D99" i="4"/>
  <c r="D47" i="4"/>
  <c r="D182" i="4"/>
  <c r="D5" i="4"/>
  <c r="D55" i="4"/>
  <c r="D112" i="4"/>
  <c r="D217" i="4"/>
  <c r="D34" i="4"/>
  <c r="D52" i="4"/>
  <c r="D147" i="4"/>
  <c r="D205" i="4"/>
  <c r="D24" i="4"/>
  <c r="D195" i="4"/>
  <c r="D188" i="4"/>
  <c r="D20" i="4"/>
  <c r="D151" i="4"/>
  <c r="D68" i="4"/>
  <c r="D221" i="4"/>
  <c r="D143" i="4"/>
  <c r="D9" i="4"/>
  <c r="D53" i="4"/>
  <c r="D131" i="4"/>
  <c r="D127" i="4"/>
  <c r="D185" i="4"/>
  <c r="D33" i="4"/>
  <c r="D213" i="4"/>
  <c r="D10" i="4"/>
  <c r="D2" i="4"/>
  <c r="D71" i="4"/>
  <c r="D107" i="4"/>
  <c r="D165" i="4"/>
  <c r="D70" i="4"/>
  <c r="D75" i="4"/>
  <c r="D183" i="4"/>
  <c r="D191" i="4"/>
  <c r="D170" i="4"/>
  <c r="D218" i="4"/>
  <c r="D102" i="4"/>
  <c r="D209" i="4"/>
  <c r="D198" i="4"/>
  <c r="D178" i="4"/>
  <c r="D158" i="4"/>
  <c r="D138" i="4"/>
  <c r="D17" i="4"/>
  <c r="D210" i="4"/>
  <c r="D87" i="4"/>
  <c r="D145" i="4"/>
  <c r="D103" i="4"/>
  <c r="D134" i="4"/>
  <c r="D63" i="4"/>
  <c r="D89" i="4"/>
  <c r="D8" i="4"/>
  <c r="D176" i="4"/>
  <c r="D130" i="4"/>
  <c r="D67" i="4"/>
  <c r="D125" i="4"/>
  <c r="D222" i="4"/>
  <c r="D23" i="4"/>
  <c r="D30" i="4"/>
  <c r="D79" i="4"/>
  <c r="D37" i="4"/>
  <c r="D12" i="4"/>
  <c r="D13" i="4"/>
  <c r="D56" i="4"/>
  <c r="D169" i="4"/>
  <c r="D27" i="4"/>
  <c r="D85" i="4"/>
  <c r="D201" i="4"/>
  <c r="D153" i="4"/>
  <c r="D57" i="4"/>
  <c r="D14" i="4"/>
  <c r="D215" i="4"/>
  <c r="D109" i="4"/>
  <c r="D7" i="4"/>
  <c r="D65" i="4"/>
  <c r="D181" i="4"/>
  <c r="D73" i="4"/>
  <c r="D82" i="4"/>
  <c r="D59" i="4"/>
  <c r="D48" i="4"/>
  <c r="D118" i="4"/>
  <c r="D163" i="4"/>
  <c r="D77" i="4"/>
  <c r="D83" i="4"/>
  <c r="D155" i="4"/>
  <c r="D69" i="4"/>
  <c r="D206" i="4"/>
  <c r="D45" i="4"/>
  <c r="D161" i="4"/>
  <c r="D172" i="4"/>
  <c r="D42" i="4"/>
  <c r="D19" i="4"/>
  <c r="D223" i="4"/>
  <c r="D98" i="4"/>
  <c r="D203" i="4"/>
  <c r="D224" i="4"/>
  <c r="D121" i="4"/>
  <c r="D220" i="4"/>
  <c r="D58" i="4"/>
  <c r="D175" i="4"/>
  <c r="D154" i="5"/>
  <c r="D174" i="5"/>
  <c r="D113" i="5"/>
  <c r="D199" i="5"/>
  <c r="D152" i="5"/>
  <c r="D273" i="5"/>
  <c r="D115" i="5"/>
  <c r="D220" i="5"/>
  <c r="D76" i="5"/>
  <c r="D197" i="5"/>
  <c r="D259" i="5"/>
  <c r="D26" i="5"/>
  <c r="D45" i="5"/>
  <c r="D42" i="5"/>
  <c r="D88" i="5"/>
  <c r="D110" i="5"/>
  <c r="D98" i="5"/>
  <c r="D251" i="5"/>
  <c r="D11" i="5"/>
  <c r="D172" i="5"/>
  <c r="D14" i="5"/>
  <c r="D155" i="5"/>
  <c r="D240" i="5"/>
  <c r="D96" i="5"/>
  <c r="D217" i="5"/>
  <c r="D241" i="5"/>
  <c r="D85" i="5"/>
  <c r="D103" i="5"/>
  <c r="D263" i="5"/>
  <c r="D144" i="5"/>
  <c r="D13" i="5"/>
  <c r="D141" i="5"/>
  <c r="D51" i="5"/>
  <c r="D192" i="5"/>
  <c r="D34" i="5"/>
  <c r="D175" i="5"/>
  <c r="D21" i="5"/>
  <c r="D116" i="5"/>
  <c r="D237" i="5"/>
  <c r="D12" i="5"/>
  <c r="D129" i="5"/>
  <c r="D147" i="5"/>
  <c r="D4" i="5"/>
  <c r="D188" i="5"/>
  <c r="D30" i="5"/>
  <c r="D111" i="5"/>
  <c r="D232" i="5"/>
  <c r="D74" i="5"/>
  <c r="D215" i="5"/>
  <c r="D61" i="5"/>
  <c r="D156" i="5"/>
  <c r="D277" i="5"/>
  <c r="D69" i="5"/>
  <c r="D229" i="5"/>
  <c r="D104" i="5"/>
  <c r="D264" i="5"/>
  <c r="D89" i="5"/>
  <c r="D65" i="5"/>
  <c r="D50" i="5"/>
  <c r="D131" i="5"/>
  <c r="D252" i="5"/>
  <c r="D94" i="5"/>
  <c r="D235" i="5"/>
  <c r="D81" i="5"/>
  <c r="D176" i="5"/>
  <c r="D18" i="5"/>
  <c r="D126" i="5"/>
  <c r="D27" i="5"/>
  <c r="D148" i="5"/>
  <c r="D209" i="5"/>
  <c r="D145" i="5"/>
  <c r="D66" i="5"/>
  <c r="D182" i="5"/>
  <c r="D134" i="5"/>
  <c r="D33" i="5"/>
  <c r="D78" i="5"/>
  <c r="D262" i="5"/>
  <c r="D186" i="5"/>
  <c r="D47" i="5"/>
  <c r="D167" i="5"/>
  <c r="D166" i="5"/>
  <c r="D90" i="5"/>
  <c r="D151" i="5"/>
  <c r="D196" i="5"/>
  <c r="D58" i="5"/>
  <c r="D29" i="5"/>
  <c r="D161" i="5"/>
  <c r="D73" i="5"/>
  <c r="D194" i="5"/>
  <c r="D179" i="5"/>
  <c r="D181" i="5"/>
  <c r="D276" i="5"/>
  <c r="D118" i="5"/>
  <c r="D24" i="5"/>
  <c r="D28" i="5"/>
  <c r="D149" i="5"/>
  <c r="D8" i="5"/>
  <c r="D170" i="5"/>
  <c r="D39" i="5"/>
  <c r="D93" i="5"/>
  <c r="D214" i="5"/>
  <c r="D40" i="5"/>
  <c r="D221" i="5"/>
  <c r="D17" i="5"/>
  <c r="D138" i="5"/>
  <c r="D83" i="5"/>
  <c r="D87" i="5"/>
  <c r="D205" i="5"/>
  <c r="D265" i="5"/>
  <c r="D216" i="5"/>
  <c r="D130" i="5"/>
  <c r="D158" i="5"/>
  <c r="D70" i="5"/>
  <c r="D101" i="5"/>
  <c r="D275" i="5"/>
  <c r="D142" i="5"/>
  <c r="D59" i="5"/>
  <c r="D150" i="5"/>
  <c r="D234" i="5"/>
  <c r="D37" i="5"/>
  <c r="D168" i="5"/>
  <c r="D57" i="5"/>
  <c r="D201" i="5"/>
  <c r="D153" i="5"/>
  <c r="D119" i="5"/>
  <c r="D243" i="5"/>
  <c r="D250" i="5"/>
  <c r="D52" i="5"/>
  <c r="D173" i="5"/>
  <c r="D15" i="5"/>
  <c r="D120" i="5"/>
  <c r="D239" i="5"/>
  <c r="D97" i="5"/>
  <c r="D218" i="5"/>
  <c r="D25" i="5"/>
  <c r="D102" i="5"/>
  <c r="D106" i="5"/>
  <c r="D222" i="5"/>
  <c r="D226" i="5"/>
  <c r="D256" i="5"/>
  <c r="D139" i="5"/>
  <c r="D127" i="5"/>
  <c r="D219" i="5"/>
  <c r="D183" i="5"/>
  <c r="D100" i="5"/>
  <c r="D198" i="5"/>
  <c r="D270" i="5"/>
  <c r="D72" i="5"/>
  <c r="D193" i="5"/>
  <c r="D35" i="5"/>
  <c r="D140" i="5"/>
  <c r="D260" i="5"/>
  <c r="D117" i="5"/>
  <c r="D238" i="5"/>
  <c r="D84" i="5"/>
  <c r="D146" i="5"/>
  <c r="D162" i="5"/>
  <c r="D7" i="5"/>
  <c r="D272" i="5"/>
  <c r="D38" i="5"/>
  <c r="D189" i="5"/>
  <c r="D121" i="5"/>
  <c r="D20" i="5"/>
  <c r="D211" i="5"/>
  <c r="D19" i="5"/>
  <c r="D231" i="5"/>
  <c r="D242" i="5"/>
  <c r="D261" i="5"/>
  <c r="D143" i="5"/>
  <c r="D49" i="5"/>
  <c r="D32" i="5"/>
  <c r="D77" i="5"/>
  <c r="D108" i="5"/>
  <c r="D91" i="5"/>
  <c r="D92" i="5"/>
  <c r="D213" i="5"/>
  <c r="D55" i="5"/>
  <c r="D160" i="5"/>
  <c r="D16" i="5"/>
  <c r="D137" i="5"/>
  <c r="D258" i="5"/>
  <c r="D128" i="5"/>
  <c r="D202" i="5"/>
  <c r="D206" i="5"/>
  <c r="D223" i="5"/>
  <c r="D255" i="5"/>
  <c r="D248" i="5"/>
  <c r="D191" i="5"/>
  <c r="D245" i="5"/>
  <c r="D236" i="5"/>
  <c r="D53" i="5"/>
  <c r="D267" i="5"/>
  <c r="D190" i="5"/>
  <c r="D249" i="5"/>
  <c r="D187" i="5"/>
  <c r="D48" i="5"/>
  <c r="D171" i="5"/>
  <c r="D233" i="5"/>
  <c r="D75" i="5"/>
  <c r="D180" i="5"/>
  <c r="D36" i="5"/>
  <c r="D157" i="5"/>
  <c r="D79" i="5"/>
  <c r="D184" i="5"/>
  <c r="D246" i="5"/>
  <c r="D82" i="5"/>
  <c r="D268" i="5"/>
  <c r="D114" i="5"/>
  <c r="D86" i="5"/>
  <c r="D163" i="5"/>
  <c r="D10" i="5"/>
  <c r="D60" i="5"/>
  <c r="D210" i="5"/>
  <c r="D133" i="5"/>
  <c r="D254" i="5"/>
  <c r="D80" i="5"/>
  <c r="D135" i="5"/>
  <c r="D178" i="5"/>
  <c r="D230" i="5"/>
  <c r="D274" i="5"/>
  <c r="D227" i="5"/>
  <c r="D112" i="5"/>
  <c r="D271" i="5"/>
  <c r="D132" i="5"/>
  <c r="D253" i="5"/>
  <c r="D95" i="5"/>
  <c r="D200" i="5"/>
  <c r="D56" i="5"/>
  <c r="D177" i="5"/>
  <c r="D159" i="5"/>
  <c r="D228" i="5"/>
  <c r="D31" i="5"/>
  <c r="D62" i="5"/>
  <c r="D225" i="5"/>
  <c r="D123" i="5"/>
  <c r="D109" i="5"/>
  <c r="D67" i="5"/>
  <c r="D124" i="5"/>
  <c r="D43" i="5"/>
  <c r="D247" i="5"/>
  <c r="D22" i="5"/>
  <c r="D64" i="5"/>
  <c r="D204" i="5"/>
  <c r="D224" i="5"/>
  <c r="D99" i="5"/>
  <c r="D3" i="5"/>
  <c r="D165" i="5"/>
  <c r="D63" i="5"/>
  <c r="D169" i="5"/>
  <c r="D46" i="5"/>
  <c r="D107" i="5"/>
  <c r="D6" i="5"/>
  <c r="D164" i="5"/>
  <c r="D207" i="5"/>
  <c r="D122" i="5"/>
  <c r="D125" i="5"/>
  <c r="D269" i="5"/>
  <c r="D68" i="5"/>
  <c r="D2" i="5"/>
  <c r="D9" i="5"/>
  <c r="D44" i="5"/>
  <c r="D158" i="1"/>
  <c r="D136" i="1"/>
  <c r="D4" i="1"/>
  <c r="D125" i="1"/>
  <c r="D10" i="1"/>
  <c r="D194" i="1"/>
  <c r="D233" i="1"/>
  <c r="D134" i="1"/>
  <c r="D228" i="1"/>
  <c r="D15" i="1"/>
  <c r="D59" i="1"/>
  <c r="D258" i="1"/>
  <c r="D114" i="1"/>
  <c r="D209" i="1"/>
  <c r="D220" i="1"/>
  <c r="D129" i="1"/>
  <c r="D271" i="1"/>
  <c r="D222" i="1"/>
  <c r="D43" i="1"/>
  <c r="D243" i="1"/>
  <c r="D156" i="1"/>
  <c r="D245" i="1"/>
  <c r="D288" i="1"/>
  <c r="D248" i="1"/>
  <c r="D95" i="1"/>
  <c r="D105" i="1"/>
  <c r="D67" i="1"/>
  <c r="D127" i="1"/>
  <c r="D238" i="1"/>
  <c r="D278" i="1"/>
  <c r="D169" i="1"/>
  <c r="D281" i="1"/>
  <c r="D242" i="1"/>
  <c r="D53" i="1"/>
  <c r="D253" i="1"/>
  <c r="D166" i="1"/>
  <c r="D60" i="1"/>
  <c r="D100" i="1"/>
  <c r="D249" i="1"/>
  <c r="D265" i="1"/>
  <c r="D152" i="1"/>
  <c r="D138" i="1"/>
  <c r="D187" i="1"/>
  <c r="D247" i="1"/>
  <c r="D230" i="1"/>
  <c r="D21" i="1"/>
  <c r="D117" i="1"/>
  <c r="D88" i="1"/>
  <c r="D170" i="1"/>
  <c r="D52" i="1"/>
  <c r="D172" i="1"/>
  <c r="D123" i="1"/>
  <c r="D36" i="1"/>
  <c r="D236" i="1"/>
  <c r="D267" i="1"/>
  <c r="D280" i="1"/>
  <c r="D37" i="1"/>
  <c r="D180" i="1"/>
  <c r="D77" i="1"/>
  <c r="D17" i="1"/>
  <c r="D113" i="1"/>
  <c r="D29" i="1"/>
  <c r="D274" i="1"/>
  <c r="D200" i="1"/>
  <c r="D277" i="1"/>
  <c r="D120" i="1"/>
  <c r="D257" i="1"/>
  <c r="D6" i="1"/>
  <c r="D48" i="1"/>
  <c r="D144" i="1"/>
  <c r="D115" i="1"/>
  <c r="D210" i="1"/>
  <c r="D62" i="1"/>
  <c r="D192" i="1"/>
  <c r="D133" i="1"/>
  <c r="D46" i="1"/>
  <c r="D246" i="1"/>
  <c r="D110" i="1"/>
  <c r="D202" i="1"/>
  <c r="D14" i="1"/>
  <c r="D63" i="1"/>
  <c r="D16" i="1"/>
  <c r="D186" i="1"/>
  <c r="D78" i="1"/>
  <c r="D145" i="1"/>
  <c r="D83" i="1"/>
  <c r="D131" i="1"/>
  <c r="D41" i="1"/>
  <c r="D93" i="1"/>
  <c r="D19" i="1"/>
  <c r="D22" i="1"/>
  <c r="D260" i="1"/>
  <c r="D81" i="1"/>
  <c r="D124" i="1"/>
  <c r="D35" i="1"/>
  <c r="D130" i="1"/>
  <c r="D32" i="1"/>
  <c r="D226" i="1"/>
  <c r="D217" i="1"/>
  <c r="D98" i="1"/>
  <c r="D119" i="1"/>
  <c r="D284" i="1"/>
  <c r="D84" i="1"/>
  <c r="D27" i="1"/>
  <c r="D75" i="1"/>
  <c r="D157" i="1"/>
  <c r="D168" i="1"/>
  <c r="D239" i="1"/>
  <c r="D72" i="1"/>
  <c r="D212" i="1"/>
  <c r="D143" i="1"/>
  <c r="D56" i="1"/>
  <c r="D256" i="1"/>
  <c r="D71" i="1"/>
  <c r="D89" i="1"/>
  <c r="D270" i="1"/>
  <c r="D164" i="1"/>
  <c r="D55" i="1"/>
  <c r="D273" i="1"/>
  <c r="D109" i="1"/>
  <c r="D25" i="1"/>
  <c r="D50" i="1"/>
  <c r="D9" i="1"/>
  <c r="D177" i="1"/>
  <c r="D38" i="1"/>
  <c r="D285" i="1"/>
  <c r="D104" i="1"/>
  <c r="D70" i="1"/>
  <c r="D255" i="1"/>
  <c r="D178" i="1"/>
  <c r="D149" i="1"/>
  <c r="D18" i="1"/>
  <c r="D147" i="1"/>
  <c r="D45" i="1"/>
  <c r="D128" i="1"/>
  <c r="D184" i="1"/>
  <c r="D195" i="1"/>
  <c r="D268" i="1"/>
  <c r="D82" i="1"/>
  <c r="D232" i="1"/>
  <c r="D153" i="1"/>
  <c r="D66" i="1"/>
  <c r="D266" i="1"/>
  <c r="D154" i="1"/>
  <c r="D207" i="1"/>
  <c r="D140" i="1"/>
  <c r="D64" i="1"/>
  <c r="D90" i="1"/>
  <c r="D92" i="1"/>
  <c r="D173" i="1"/>
  <c r="D198" i="1"/>
  <c r="D28" i="1"/>
  <c r="D57" i="1"/>
  <c r="D69" i="1"/>
  <c r="D161" i="1"/>
  <c r="D179" i="1"/>
  <c r="D237" i="1"/>
  <c r="D254" i="1"/>
  <c r="D61" i="1"/>
  <c r="D211" i="1"/>
  <c r="D122" i="1"/>
  <c r="D282" i="1"/>
  <c r="D183" i="1"/>
  <c r="D96" i="1"/>
  <c r="D87" i="1"/>
  <c r="D261" i="1"/>
  <c r="D139" i="1"/>
  <c r="D85" i="1"/>
  <c r="D272" i="1"/>
  <c r="D171" i="1"/>
  <c r="D94" i="1"/>
  <c r="D11" i="1"/>
  <c r="D54" i="1"/>
  <c r="D196" i="1"/>
  <c r="D219" i="1"/>
  <c r="D42" i="1"/>
  <c r="D97" i="1"/>
  <c r="D227" i="1"/>
  <c r="D155" i="1"/>
  <c r="D163" i="1"/>
  <c r="D175" i="1"/>
  <c r="D190" i="1"/>
  <c r="D7" i="1"/>
  <c r="D188" i="1"/>
  <c r="D259" i="1"/>
  <c r="D208" i="1"/>
  <c r="D225" i="1"/>
  <c r="D279" i="1"/>
  <c r="D102" i="1"/>
  <c r="D262" i="1"/>
  <c r="D286" i="1"/>
  <c r="D244" i="1"/>
  <c r="D287" i="1"/>
  <c r="D79" i="1"/>
  <c r="D174" i="1"/>
  <c r="D204" i="1"/>
  <c r="D5" i="1"/>
  <c r="D235" i="1"/>
  <c r="D8" i="1"/>
  <c r="D141" i="1"/>
  <c r="D221" i="1"/>
  <c r="D132" i="1"/>
  <c r="D193" i="1"/>
  <c r="D106" i="1"/>
  <c r="D146" i="1"/>
  <c r="D199" i="1"/>
  <c r="D263" i="1"/>
  <c r="D148" i="1"/>
  <c r="D118" i="1"/>
  <c r="D229" i="1"/>
  <c r="D206" i="1"/>
  <c r="D240" i="1"/>
  <c r="D137" i="1"/>
  <c r="D112" i="1"/>
  <c r="D151" i="1"/>
  <c r="D252" i="1"/>
  <c r="D86" i="1"/>
  <c r="D91" i="1"/>
  <c r="D160" i="1"/>
  <c r="D191" i="1"/>
  <c r="D275" i="1"/>
  <c r="D26" i="1"/>
  <c r="D264" i="1"/>
  <c r="D101" i="1"/>
  <c r="D34" i="1"/>
  <c r="D224" i="1"/>
  <c r="D231" i="1"/>
  <c r="D142" i="1"/>
  <c r="D3" i="1"/>
  <c r="D203" i="1"/>
  <c r="D116" i="1"/>
  <c r="D269" i="1"/>
  <c r="D33" i="1"/>
  <c r="D176" i="1"/>
  <c r="D99" i="1"/>
  <c r="D73" i="1"/>
  <c r="D189" i="1"/>
  <c r="D283" i="1"/>
  <c r="D159" i="1"/>
  <c r="D12" i="1"/>
  <c r="D31" i="1"/>
  <c r="D65" i="1"/>
  <c r="D103" i="1"/>
  <c r="D68" i="1"/>
  <c r="D58" i="1"/>
  <c r="D250" i="1"/>
  <c r="D276" i="1"/>
  <c r="D218" i="1"/>
  <c r="D150" i="1"/>
  <c r="D201" i="1"/>
  <c r="D30" i="1"/>
  <c r="D40" i="1"/>
  <c r="D44" i="1"/>
  <c r="D20" i="1"/>
  <c r="D181" i="1"/>
  <c r="D74" i="1"/>
  <c r="D24" i="1"/>
  <c r="D241" i="1"/>
  <c r="D162" i="1"/>
  <c r="D13" i="1"/>
  <c r="D213" i="1"/>
  <c r="D126" i="1"/>
  <c r="D185" i="1"/>
  <c r="D205" i="1"/>
  <c r="D111" i="1"/>
  <c r="D214" i="1"/>
  <c r="D234" i="1"/>
  <c r="D216" i="1"/>
  <c r="D215" i="1"/>
  <c r="D165" i="1"/>
  <c r="D108" i="1"/>
  <c r="D197" i="1"/>
  <c r="D76" i="1"/>
  <c r="D80" i="1"/>
  <c r="D51" i="1"/>
  <c r="D39" i="1"/>
  <c r="D135" i="1"/>
  <c r="D121" i="1"/>
  <c r="D107" i="1"/>
  <c r="D47" i="1"/>
  <c r="D167" i="1"/>
  <c r="D49" i="1"/>
  <c r="D251" i="1"/>
  <c r="D182" i="1"/>
  <c r="D23" i="1"/>
  <c r="D223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<sst xmlns="http://schemas.openxmlformats.org/spreadsheetml/2006/main" count="20" uniqueCount="4">
  <si>
    <t>date</t>
  </si>
  <si>
    <t>survey</t>
  </si>
  <si>
    <t>actual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</si>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</sst>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BDS|16635048808174252975</stp>
        <tr r="F2" s="1"/>
      </tp>
      <tp t="s">
        <v>#N/A N/A</v>
        <stp/>
        <stp>BDH|15254847123766616241</stp>
        <tr r="A2" s="4"/>
      </tp>
      <tp t="s">
        <v>#N/A N/A</v>
        <stp/>
        <stp>BDH|10331431096280125612</stp>
        <tr r="A2" s="5"/>
      </tp>
      <tp t="s">
        <v>#N/A N/A</v>
        <stp/>
        <stp>BDH|10275729593665035411</stp>
        <tr r="A2" s="2"/>
      </tp>
      <tp t="s">
        <v>#N/A N/A</v>
        <stp/>
        <stp>BDS|11061841491035475871</stp>
        <tr r="F2" s="4"/>
      </tp>
      <tp t="s">
        <v>#N/A N/A</v>
        <stp/>
        <stp>BDH|16994422800624426644</stp>
        <tr r="A2" s="3"/>
      </tp>
      <tp t="s">
        <v>#N/A N/A</v>
        <stp/>
        <stp>BDS|16086161774015425415</stp>
        <tr r="F2" s="3"/>
      </tp>
    </main>
    <main first="bofaddin.rtdserver">
      <tp t="s">
        <v>#N/A N/A</v>
        <stp/>
        <stp>BDS|8497527020702775241</stp>
        <tr r="F2" s="2"/>
      </tp>
      <tp t="s">
        <v>#N/A N/A</v>
        <stp/>
        <stp>BDS|5782969984671436051</stp>
        <tr r="F2" s="5"/>
      </tp>
      <tp t="s">
        <v>#N/A N/A</v>
        <stp/>
        <stp>BDH|6888343279680650535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8339-A505-4EA1-92E3-C7E4523CB58A}">
  <dimension ref="A1:K316"/>
  <sheetViews>
    <sheetView workbookViewId="0">
      <selection activeCell="F2" sqref="F2"/>
    </sheetView>
  </sheetViews>
  <sheetFormatPr defaultRowHeight="15" x14ac:dyDescent="0.25"/>
  <cols>
    <col min="1" max="1" width="13.28515625" customWidth="1"/>
    <col min="2" max="2" width="8.28515625" customWidth="1"/>
    <col min="3" max="3" width="8.42578125" customWidth="1"/>
    <col min="4" max="4" width="17.7109375" bestFit="1" customWidth="1"/>
    <col min="5" max="5" width="18.28515625" customWidth="1"/>
    <col min="6" max="6" width="20.28515625" bestFit="1" customWidth="1"/>
    <col min="7" max="7" width="7.140625" customWidth="1"/>
    <col min="11" max="11" width="11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</row>
    <row r="2" spans="1:11" x14ac:dyDescent="0.25">
      <c r="A2" s="1" cm="1">
        <f t="array" ref="A2:C289">_xll.BDH("ECCPEST Index","BN_SURVEY_MEDIAN,ACTUAL_RELEASE","2000-01-01","2026-03-19", "RELEASE_DATE_OVERRIDE", "1")</f>
        <v>37315</v>
      </c>
      <c r="B2">
        <v>2.4</v>
      </c>
      <c r="C2">
        <v>2.5</v>
      </c>
      <c r="D2" s="2" t="str">
        <f t="shared" ref="D2:D65" si="0">IFERROR(_xlfn.XLOOKUP(A2,$G:$G,$F:$F,""),"")</f>
        <v>2002/02/28 15:00:00</v>
      </c>
      <c r="F2" s="2" t="str" cm="1">
        <f t="array" ref="F2:F290">_xll.BDS("ECCPEST Index","ECO_FUTURE_RELEASE_DATE_LIST","START_DT=20000101","END_DT=20260319")</f>
        <v>2002/02/28 15:00:00</v>
      </c>
      <c r="G2">
        <f t="shared" ref="G2:G65" si="1">IFERROR(INT(F2),"")</f>
        <v>37315</v>
      </c>
      <c r="K2" s="1"/>
    </row>
    <row r="3" spans="1:11" x14ac:dyDescent="0.25">
      <c r="A3" s="1">
        <v>37348</v>
      </c>
      <c r="B3">
        <v>2.4</v>
      </c>
      <c r="C3">
        <v>2.5</v>
      </c>
      <c r="D3" s="2" t="str">
        <f t="shared" si="0"/>
        <v>2002/04/02 10:00:00</v>
      </c>
      <c r="F3" s="2" t="str">
        <v>2002/04/02 10:00:00</v>
      </c>
      <c r="G3">
        <f t="shared" si="1"/>
        <v>37348</v>
      </c>
    </row>
    <row r="4" spans="1:11" x14ac:dyDescent="0.25">
      <c r="A4" s="1">
        <v>37376</v>
      </c>
      <c r="B4">
        <v>2.2000000000000002</v>
      </c>
      <c r="C4">
        <v>2.2000000000000002</v>
      </c>
      <c r="D4" s="2" t="str">
        <f t="shared" si="0"/>
        <v>2002/04/30 10:00:00</v>
      </c>
      <c r="F4" s="2" t="str">
        <v>2002/04/30 10:00:00</v>
      </c>
      <c r="G4">
        <f t="shared" si="1"/>
        <v>37376</v>
      </c>
    </row>
    <row r="5" spans="1:11" x14ac:dyDescent="0.25">
      <c r="A5" s="1">
        <v>37407</v>
      </c>
      <c r="B5">
        <v>2.1</v>
      </c>
      <c r="C5">
        <v>2</v>
      </c>
      <c r="D5" s="2" t="str">
        <f t="shared" si="0"/>
        <v>2002/05/31 10:00:00</v>
      </c>
      <c r="F5" s="2" t="str">
        <v>2002/05/31 10:00:00</v>
      </c>
      <c r="G5">
        <f t="shared" si="1"/>
        <v>37407</v>
      </c>
    </row>
    <row r="6" spans="1:11" x14ac:dyDescent="0.25">
      <c r="A6" s="1">
        <v>37435</v>
      </c>
      <c r="B6">
        <v>1.9</v>
      </c>
      <c r="C6">
        <v>1.7</v>
      </c>
      <c r="D6" s="2" t="str">
        <f t="shared" si="0"/>
        <v>2002/06/28 10:00:00</v>
      </c>
      <c r="F6" s="2" t="str">
        <v>2002/06/28 10:00:00</v>
      </c>
      <c r="G6">
        <f t="shared" si="1"/>
        <v>37435</v>
      </c>
    </row>
    <row r="7" spans="1:11" x14ac:dyDescent="0.25">
      <c r="A7" s="1">
        <v>37468</v>
      </c>
      <c r="B7">
        <v>1.9</v>
      </c>
      <c r="C7">
        <v>1.9</v>
      </c>
      <c r="D7" s="2" t="str">
        <f t="shared" si="0"/>
        <v>2002/07/31 10:00:00</v>
      </c>
      <c r="F7" s="2" t="str">
        <v>2002/07/31 10:00:00</v>
      </c>
      <c r="G7">
        <f t="shared" si="1"/>
        <v>37468</v>
      </c>
    </row>
    <row r="8" spans="1:11" x14ac:dyDescent="0.25">
      <c r="A8" s="1">
        <v>37498</v>
      </c>
      <c r="B8">
        <v>2</v>
      </c>
      <c r="C8">
        <v>2.1</v>
      </c>
      <c r="D8" s="2" t="str">
        <f t="shared" si="0"/>
        <v>2002/08/30 10:00:00</v>
      </c>
      <c r="F8" s="2" t="str">
        <v>2002/08/30 10:00:00</v>
      </c>
      <c r="G8">
        <f t="shared" si="1"/>
        <v>37498</v>
      </c>
    </row>
    <row r="9" spans="1:11" x14ac:dyDescent="0.25">
      <c r="A9" s="1">
        <v>37529</v>
      </c>
      <c r="B9">
        <v>2.2000000000000002</v>
      </c>
      <c r="C9">
        <v>2.2000000000000002</v>
      </c>
      <c r="D9" s="2" t="str">
        <f t="shared" si="0"/>
        <v>2002/09/30 10:00:00</v>
      </c>
      <c r="F9" s="2" t="str">
        <v>2002/09/30 10:00:00</v>
      </c>
      <c r="G9">
        <f t="shared" si="1"/>
        <v>37529</v>
      </c>
    </row>
    <row r="10" spans="1:11" x14ac:dyDescent="0.25">
      <c r="A10" s="1">
        <v>37560</v>
      </c>
      <c r="B10">
        <v>2.2000000000000002</v>
      </c>
      <c r="C10">
        <v>2.2000000000000002</v>
      </c>
      <c r="D10" s="2" t="str">
        <f t="shared" si="0"/>
        <v>2002/10/31 11:00:00</v>
      </c>
      <c r="F10" s="2" t="str">
        <v>2002/10/31 11:00:00</v>
      </c>
      <c r="G10">
        <f t="shared" si="1"/>
        <v>37560</v>
      </c>
    </row>
    <row r="11" spans="1:11" x14ac:dyDescent="0.25">
      <c r="A11" s="1">
        <v>37589</v>
      </c>
      <c r="B11">
        <v>2.2999999999999998</v>
      </c>
      <c r="C11">
        <v>2.2000000000000002</v>
      </c>
      <c r="D11" s="2" t="str">
        <f t="shared" si="0"/>
        <v>2002/11/29 11:00:00</v>
      </c>
      <c r="F11" s="2" t="str">
        <v>2002/11/29 11:00:00</v>
      </c>
      <c r="G11">
        <f t="shared" si="1"/>
        <v>37589</v>
      </c>
    </row>
    <row r="12" spans="1:11" x14ac:dyDescent="0.25">
      <c r="A12" s="1">
        <v>37624</v>
      </c>
      <c r="B12">
        <v>2.2000000000000002</v>
      </c>
      <c r="C12">
        <v>2.2000000000000002</v>
      </c>
      <c r="D12" s="2" t="str">
        <f t="shared" si="0"/>
        <v>2003/01/03 11:00:00</v>
      </c>
      <c r="F12" s="2" t="str">
        <v>2003/01/03 11:00:00</v>
      </c>
      <c r="G12">
        <f t="shared" si="1"/>
        <v>37624</v>
      </c>
    </row>
    <row r="13" spans="1:11" x14ac:dyDescent="0.25">
      <c r="A13" s="1">
        <v>37656</v>
      </c>
      <c r="B13">
        <v>2.2000000000000002</v>
      </c>
      <c r="C13">
        <v>2.1</v>
      </c>
      <c r="D13" s="2" t="str">
        <f t="shared" si="0"/>
        <v>2003/02/04 11:00:00</v>
      </c>
      <c r="F13" s="2" t="str">
        <v>2003/02/04 11:00:00</v>
      </c>
      <c r="G13">
        <f t="shared" si="1"/>
        <v>37656</v>
      </c>
    </row>
    <row r="14" spans="1:11" x14ac:dyDescent="0.25">
      <c r="A14" s="1">
        <v>37680</v>
      </c>
      <c r="B14">
        <v>2.2000000000000002</v>
      </c>
      <c r="C14">
        <v>2.2999999999999998</v>
      </c>
      <c r="D14" s="2" t="str">
        <f t="shared" si="0"/>
        <v>2003/02/28 11:00:00</v>
      </c>
      <c r="F14" s="2" t="str">
        <v>2003/02/28 11:00:00</v>
      </c>
      <c r="G14">
        <f t="shared" si="1"/>
        <v>37680</v>
      </c>
    </row>
    <row r="15" spans="1:11" x14ac:dyDescent="0.25">
      <c r="A15" s="1">
        <v>37711</v>
      </c>
      <c r="B15">
        <v>2.2999999999999998</v>
      </c>
      <c r="C15">
        <v>2.4</v>
      </c>
      <c r="D15" s="2" t="str">
        <f t="shared" si="0"/>
        <v>2003/03/31 10:00:00</v>
      </c>
      <c r="F15" s="2" t="str">
        <v>2003/03/31 10:00:00</v>
      </c>
      <c r="G15">
        <f t="shared" si="1"/>
        <v>37711</v>
      </c>
    </row>
    <row r="16" spans="1:11" x14ac:dyDescent="0.25">
      <c r="A16" s="1">
        <v>37741</v>
      </c>
      <c r="B16">
        <v>2.2000000000000002</v>
      </c>
      <c r="C16">
        <v>2.1</v>
      </c>
      <c r="D16" s="2" t="str">
        <f t="shared" si="0"/>
        <v>2003/04/30 10:00:00</v>
      </c>
      <c r="F16" s="2" t="str">
        <v>2003/04/30 10:00:00</v>
      </c>
      <c r="G16">
        <f t="shared" si="1"/>
        <v>37741</v>
      </c>
    </row>
    <row r="17" spans="1:7" x14ac:dyDescent="0.25">
      <c r="A17" s="1">
        <v>37774</v>
      </c>
      <c r="B17">
        <v>1.9</v>
      </c>
      <c r="C17">
        <v>1.9</v>
      </c>
      <c r="D17" s="2" t="str">
        <f t="shared" si="0"/>
        <v>2003/06/02 10:00:00</v>
      </c>
      <c r="F17" s="2" t="str">
        <v>2003/06/02 10:00:00</v>
      </c>
      <c r="G17">
        <f t="shared" si="1"/>
        <v>37774</v>
      </c>
    </row>
    <row r="18" spans="1:7" x14ac:dyDescent="0.25">
      <c r="A18" s="1">
        <v>37802</v>
      </c>
      <c r="B18">
        <v>2</v>
      </c>
      <c r="C18">
        <v>2</v>
      </c>
      <c r="D18" s="2" t="str">
        <f t="shared" si="0"/>
        <v>2003/06/30 10:00:00</v>
      </c>
      <c r="F18" s="2" t="str">
        <v>2003/06/30 10:00:00</v>
      </c>
      <c r="G18">
        <f t="shared" si="1"/>
        <v>37802</v>
      </c>
    </row>
    <row r="19" spans="1:7" x14ac:dyDescent="0.25">
      <c r="A19" s="1">
        <v>37833</v>
      </c>
      <c r="B19">
        <v>2</v>
      </c>
      <c r="C19">
        <v>1.9</v>
      </c>
      <c r="D19" s="2" t="str">
        <f t="shared" si="0"/>
        <v>2003/07/31 10:00:00</v>
      </c>
      <c r="F19" s="2" t="str">
        <v>2003/07/31 10:00:00</v>
      </c>
      <c r="G19">
        <f t="shared" si="1"/>
        <v>37833</v>
      </c>
    </row>
    <row r="20" spans="1:7" x14ac:dyDescent="0.25">
      <c r="A20" s="1">
        <v>37862</v>
      </c>
      <c r="B20">
        <v>2.1</v>
      </c>
      <c r="C20">
        <v>2.1</v>
      </c>
      <c r="D20" s="2" t="str">
        <f t="shared" si="0"/>
        <v>2003/08/29 10:00:00</v>
      </c>
      <c r="F20" s="2" t="str">
        <v>2003/08/29 10:00:00</v>
      </c>
      <c r="G20">
        <f t="shared" si="1"/>
        <v>37862</v>
      </c>
    </row>
    <row r="21" spans="1:7" x14ac:dyDescent="0.25">
      <c r="A21" s="1">
        <v>37894</v>
      </c>
      <c r="B21">
        <v>2</v>
      </c>
      <c r="C21">
        <v>2.1</v>
      </c>
      <c r="D21" s="2" t="str">
        <f t="shared" si="0"/>
        <v>2003/09/30 10:00:00</v>
      </c>
      <c r="F21" s="2" t="str">
        <v>2003/09/30 10:00:00</v>
      </c>
      <c r="G21">
        <f t="shared" si="1"/>
        <v>37894</v>
      </c>
    </row>
    <row r="22" spans="1:7" x14ac:dyDescent="0.25">
      <c r="A22" s="1">
        <v>37925</v>
      </c>
      <c r="B22">
        <v>2</v>
      </c>
      <c r="C22">
        <v>2.1</v>
      </c>
      <c r="D22" s="2" t="str">
        <f t="shared" si="0"/>
        <v>2003/10/31 11:00:00</v>
      </c>
      <c r="F22" s="2" t="str">
        <v>2003/10/31 11:00:00</v>
      </c>
      <c r="G22">
        <f t="shared" si="1"/>
        <v>37925</v>
      </c>
    </row>
    <row r="23" spans="1:7" x14ac:dyDescent="0.25">
      <c r="A23" s="1">
        <v>37953</v>
      </c>
      <c r="B23">
        <v>2.1</v>
      </c>
      <c r="C23">
        <v>2.2000000000000002</v>
      </c>
      <c r="D23" s="2" t="str">
        <f t="shared" si="0"/>
        <v>2003/11/28 11:00:00</v>
      </c>
      <c r="F23" s="2" t="str">
        <v>2003/11/28 11:00:00</v>
      </c>
      <c r="G23">
        <f t="shared" si="1"/>
        <v>37953</v>
      </c>
    </row>
    <row r="24" spans="1:7" x14ac:dyDescent="0.25">
      <c r="A24" s="1">
        <v>37991</v>
      </c>
      <c r="B24">
        <v>2.1</v>
      </c>
      <c r="C24">
        <v>2.1</v>
      </c>
      <c r="D24" s="2" t="str">
        <f t="shared" si="0"/>
        <v>2004/01/05 11:00:00</v>
      </c>
      <c r="F24" s="2" t="str">
        <v>2004/01/05 11:00:00</v>
      </c>
      <c r="G24">
        <f t="shared" si="1"/>
        <v>37991</v>
      </c>
    </row>
    <row r="25" spans="1:7" x14ac:dyDescent="0.25">
      <c r="A25" s="1">
        <v>38021</v>
      </c>
      <c r="B25">
        <v>2</v>
      </c>
      <c r="C25">
        <v>2</v>
      </c>
      <c r="D25" s="2" t="str">
        <f t="shared" si="0"/>
        <v>2004/02/04 11:00:00</v>
      </c>
      <c r="F25" s="2" t="str">
        <v>2004/02/04 11:00:00</v>
      </c>
      <c r="G25">
        <f t="shared" si="1"/>
        <v>38021</v>
      </c>
    </row>
    <row r="26" spans="1:7" x14ac:dyDescent="0.25">
      <c r="A26" s="1">
        <v>38044</v>
      </c>
      <c r="B26">
        <v>1.8</v>
      </c>
      <c r="C26">
        <v>1.6</v>
      </c>
      <c r="D26" s="2" t="str">
        <f t="shared" si="0"/>
        <v>2004/02/27 11:00:00</v>
      </c>
      <c r="F26" s="2" t="str">
        <v>2004/02/27 11:00:00</v>
      </c>
      <c r="G26">
        <f t="shared" si="1"/>
        <v>38044</v>
      </c>
    </row>
    <row r="27" spans="1:7" x14ac:dyDescent="0.25">
      <c r="A27" s="1">
        <v>38077</v>
      </c>
      <c r="B27">
        <v>1.6</v>
      </c>
      <c r="C27">
        <v>1.6</v>
      </c>
      <c r="D27" s="2" t="str">
        <f t="shared" si="0"/>
        <v>2004/03/31 09:00:00</v>
      </c>
      <c r="F27" s="2" t="str">
        <v>2004/03/31 09:00:00</v>
      </c>
      <c r="G27">
        <f t="shared" si="1"/>
        <v>38077</v>
      </c>
    </row>
    <row r="28" spans="1:7" x14ac:dyDescent="0.25">
      <c r="A28" s="1">
        <v>38107</v>
      </c>
      <c r="B28">
        <v>1.9</v>
      </c>
      <c r="C28">
        <v>2</v>
      </c>
      <c r="D28" s="2" t="str">
        <f t="shared" si="0"/>
        <v>2004/04/30 09:00:00</v>
      </c>
      <c r="F28" s="2" t="str">
        <v>2004/04/30 09:00:00</v>
      </c>
      <c r="G28">
        <f t="shared" si="1"/>
        <v>38107</v>
      </c>
    </row>
    <row r="29" spans="1:7" x14ac:dyDescent="0.25">
      <c r="A29" s="1">
        <v>38135</v>
      </c>
      <c r="B29">
        <v>2.2999999999999998</v>
      </c>
      <c r="C29">
        <v>2.5</v>
      </c>
      <c r="D29" s="2" t="str">
        <f t="shared" si="0"/>
        <v>2004/05/28 09:00:00</v>
      </c>
      <c r="F29" s="2" t="str">
        <v>2004/05/28 09:00:00</v>
      </c>
      <c r="G29">
        <f t="shared" si="1"/>
        <v>38135</v>
      </c>
    </row>
    <row r="30" spans="1:7" x14ac:dyDescent="0.25">
      <c r="A30" s="1">
        <v>38168</v>
      </c>
      <c r="B30">
        <v>2.4</v>
      </c>
      <c r="C30">
        <v>2.4</v>
      </c>
      <c r="D30" s="2" t="str">
        <f t="shared" si="0"/>
        <v>2004/06/30 09:00:00</v>
      </c>
      <c r="F30" s="2" t="str">
        <v>2004/06/30 09:00:00</v>
      </c>
      <c r="G30">
        <f t="shared" si="1"/>
        <v>38168</v>
      </c>
    </row>
    <row r="31" spans="1:7" x14ac:dyDescent="0.25">
      <c r="A31" s="1">
        <v>38198</v>
      </c>
      <c r="B31">
        <v>2.4</v>
      </c>
      <c r="C31">
        <v>2.4</v>
      </c>
      <c r="D31" s="2" t="str">
        <f t="shared" si="0"/>
        <v>2004/07/30 09:00:00</v>
      </c>
      <c r="F31" s="2" t="str">
        <v>2004/07/30 09:00:00</v>
      </c>
      <c r="G31">
        <f t="shared" si="1"/>
        <v>38198</v>
      </c>
    </row>
    <row r="32" spans="1:7" x14ac:dyDescent="0.25">
      <c r="A32" s="1">
        <v>38230</v>
      </c>
      <c r="B32">
        <v>2.4</v>
      </c>
      <c r="C32">
        <v>2.2999999999999998</v>
      </c>
      <c r="D32" s="2" t="str">
        <f t="shared" si="0"/>
        <v>2004/08/31 09:00:00</v>
      </c>
      <c r="F32" s="2" t="str">
        <v>2004/08/31 09:00:00</v>
      </c>
      <c r="G32">
        <f t="shared" si="1"/>
        <v>38230</v>
      </c>
    </row>
    <row r="33" spans="1:7" x14ac:dyDescent="0.25">
      <c r="A33" s="1">
        <v>38260</v>
      </c>
      <c r="B33">
        <v>2.2000000000000002</v>
      </c>
      <c r="C33">
        <v>2.2000000000000002</v>
      </c>
      <c r="D33" s="2" t="str">
        <f t="shared" si="0"/>
        <v>2004/09/30 09:00:00</v>
      </c>
      <c r="F33" s="2" t="str">
        <v>2004/09/30 09:00:00</v>
      </c>
      <c r="G33">
        <f t="shared" si="1"/>
        <v>38260</v>
      </c>
    </row>
    <row r="34" spans="1:7" x14ac:dyDescent="0.25">
      <c r="A34" s="1">
        <v>38289</v>
      </c>
      <c r="B34">
        <v>2.2999999999999998</v>
      </c>
      <c r="C34">
        <v>2.5</v>
      </c>
      <c r="D34" s="2" t="str">
        <f t="shared" si="0"/>
        <v>2004/10/29 09:00:00</v>
      </c>
      <c r="F34" s="2" t="str">
        <v>2004/10/29 09:00:00</v>
      </c>
      <c r="G34">
        <f t="shared" si="1"/>
        <v>38289</v>
      </c>
    </row>
    <row r="35" spans="1:7" x14ac:dyDescent="0.25">
      <c r="A35" s="1">
        <v>38321</v>
      </c>
      <c r="B35">
        <v>2.2000000000000002</v>
      </c>
      <c r="C35">
        <v>2.2000000000000002</v>
      </c>
      <c r="D35" s="2" t="str">
        <f t="shared" si="0"/>
        <v>2004/11/30 10:00:00</v>
      </c>
      <c r="F35" s="2" t="str">
        <v>2004/11/30 10:00:00</v>
      </c>
      <c r="G35">
        <f t="shared" si="1"/>
        <v>38321</v>
      </c>
    </row>
    <row r="36" spans="1:7" x14ac:dyDescent="0.25">
      <c r="A36" s="1">
        <v>38356</v>
      </c>
      <c r="B36">
        <v>2.2999999999999998</v>
      </c>
      <c r="C36">
        <v>2.2999999999999998</v>
      </c>
      <c r="D36" s="2" t="str">
        <f t="shared" si="0"/>
        <v>2005/01/04 10:00:00</v>
      </c>
      <c r="F36" s="2" t="str">
        <v>2005/01/04 10:00:00</v>
      </c>
      <c r="G36">
        <f t="shared" si="1"/>
        <v>38356</v>
      </c>
    </row>
    <row r="37" spans="1:7" x14ac:dyDescent="0.25">
      <c r="A37" s="1">
        <v>38387</v>
      </c>
      <c r="B37">
        <v>2.2000000000000002</v>
      </c>
      <c r="C37">
        <v>2.1</v>
      </c>
      <c r="D37" s="2" t="str">
        <f t="shared" si="0"/>
        <v>2005/02/04 10:00:00</v>
      </c>
      <c r="F37" s="2" t="str">
        <v>2005/02/04 10:00:00</v>
      </c>
      <c r="G37">
        <f t="shared" si="1"/>
        <v>38387</v>
      </c>
    </row>
    <row r="38" spans="1:7" x14ac:dyDescent="0.25">
      <c r="A38" s="1">
        <v>38412</v>
      </c>
      <c r="B38">
        <v>2.1</v>
      </c>
      <c r="C38">
        <v>2</v>
      </c>
      <c r="D38" s="2" t="str">
        <f t="shared" si="0"/>
        <v>2005/03/01 10:00:00</v>
      </c>
      <c r="F38" s="2" t="str">
        <v>2005/03/01 10:00:00</v>
      </c>
      <c r="G38">
        <f t="shared" si="1"/>
        <v>38412</v>
      </c>
    </row>
    <row r="39" spans="1:7" x14ac:dyDescent="0.25">
      <c r="A39" s="1">
        <v>38442</v>
      </c>
      <c r="B39">
        <v>2.1</v>
      </c>
      <c r="C39">
        <v>2.1</v>
      </c>
      <c r="D39" s="2" t="str">
        <f t="shared" si="0"/>
        <v>2005/03/31 09:00:00</v>
      </c>
      <c r="F39" s="2" t="str">
        <v>2005/03/31 09:00:00</v>
      </c>
      <c r="G39">
        <f t="shared" si="1"/>
        <v>38442</v>
      </c>
    </row>
    <row r="40" spans="1:7" x14ac:dyDescent="0.25">
      <c r="A40" s="1">
        <v>38471</v>
      </c>
      <c r="B40">
        <v>2.1</v>
      </c>
      <c r="C40">
        <v>2.1</v>
      </c>
      <c r="D40" s="2" t="str">
        <f t="shared" si="0"/>
        <v>2005/04/29 09:00:00</v>
      </c>
      <c r="F40" s="2" t="str">
        <v>2005/04/29 09:00:00</v>
      </c>
      <c r="G40">
        <f t="shared" si="1"/>
        <v>38471</v>
      </c>
    </row>
    <row r="41" spans="1:7" x14ac:dyDescent="0.25">
      <c r="A41" s="1">
        <v>38503</v>
      </c>
      <c r="B41">
        <v>2</v>
      </c>
      <c r="C41">
        <v>2</v>
      </c>
      <c r="D41" s="2" t="str">
        <f t="shared" si="0"/>
        <v>2005/05/31 09:00:00</v>
      </c>
      <c r="F41" s="2" t="str">
        <v>2005/05/31 09:00:00</v>
      </c>
      <c r="G41">
        <f t="shared" si="1"/>
        <v>38503</v>
      </c>
    </row>
    <row r="42" spans="1:7" x14ac:dyDescent="0.25">
      <c r="A42" s="1">
        <v>38533</v>
      </c>
      <c r="B42">
        <v>2.1</v>
      </c>
      <c r="C42">
        <v>2.1</v>
      </c>
      <c r="D42" s="2" t="str">
        <f t="shared" si="0"/>
        <v>2005/06/30 09:00:00</v>
      </c>
      <c r="F42" s="2" t="str">
        <v>2005/06/30 09:00:00</v>
      </c>
      <c r="G42">
        <f t="shared" si="1"/>
        <v>38533</v>
      </c>
    </row>
    <row r="43" spans="1:7" x14ac:dyDescent="0.25">
      <c r="A43" s="1">
        <v>38562</v>
      </c>
      <c r="B43">
        <v>2.2000000000000002</v>
      </c>
      <c r="C43">
        <v>2.2000000000000002</v>
      </c>
      <c r="D43" s="2" t="str">
        <f t="shared" si="0"/>
        <v>2005/07/29 09:00:00</v>
      </c>
      <c r="F43" s="2" t="str">
        <v>2005/07/29 09:00:00</v>
      </c>
      <c r="G43">
        <f t="shared" si="1"/>
        <v>38562</v>
      </c>
    </row>
    <row r="44" spans="1:7" x14ac:dyDescent="0.25">
      <c r="A44" s="1">
        <v>38595</v>
      </c>
      <c r="B44">
        <v>2.2000000000000002</v>
      </c>
      <c r="C44">
        <v>2.1</v>
      </c>
      <c r="D44" s="2" t="str">
        <f t="shared" si="0"/>
        <v>2005/08/31 09:00:00</v>
      </c>
      <c r="F44" s="2" t="str">
        <v>2005/08/31 09:00:00</v>
      </c>
      <c r="G44">
        <f t="shared" si="1"/>
        <v>38595</v>
      </c>
    </row>
    <row r="45" spans="1:7" x14ac:dyDescent="0.25">
      <c r="A45" s="1">
        <v>38625</v>
      </c>
      <c r="B45">
        <v>2.4</v>
      </c>
      <c r="C45">
        <v>2.5</v>
      </c>
      <c r="D45" s="2" t="str">
        <f t="shared" si="0"/>
        <v>2005/09/30 09:00:00</v>
      </c>
      <c r="F45" s="2" t="str">
        <v>2005/09/30 09:00:00</v>
      </c>
      <c r="G45">
        <f t="shared" si="1"/>
        <v>38625</v>
      </c>
    </row>
    <row r="46" spans="1:7" x14ac:dyDescent="0.25">
      <c r="A46" s="1">
        <v>38653</v>
      </c>
      <c r="B46">
        <v>2.4</v>
      </c>
      <c r="C46">
        <v>2.5</v>
      </c>
      <c r="D46" s="2" t="str">
        <f t="shared" si="0"/>
        <v>2005/10/28 09:00:00</v>
      </c>
      <c r="F46" s="2" t="str">
        <v>2005/10/28 09:00:00</v>
      </c>
      <c r="G46">
        <f t="shared" si="1"/>
        <v>38653</v>
      </c>
    </row>
    <row r="47" spans="1:7" x14ac:dyDescent="0.25">
      <c r="A47" s="1">
        <v>38686</v>
      </c>
      <c r="B47">
        <v>2.4</v>
      </c>
      <c r="C47">
        <v>2.4</v>
      </c>
      <c r="D47" s="2" t="str">
        <f t="shared" si="0"/>
        <v>2005/11/30 10:00:00</v>
      </c>
      <c r="F47" s="2" t="str">
        <v>2005/11/30 10:00:00</v>
      </c>
      <c r="G47">
        <f t="shared" si="1"/>
        <v>38686</v>
      </c>
    </row>
    <row r="48" spans="1:7" x14ac:dyDescent="0.25">
      <c r="A48" s="1">
        <v>38751</v>
      </c>
      <c r="B48">
        <v>2.4</v>
      </c>
      <c r="C48">
        <v>2.4</v>
      </c>
      <c r="D48" s="2" t="str">
        <f t="shared" si="0"/>
        <v>2006/02/03 10:00:00</v>
      </c>
      <c r="F48" s="2" t="str">
        <v>2006/01/04 10:00:00</v>
      </c>
      <c r="G48">
        <f t="shared" si="1"/>
        <v>38721</v>
      </c>
    </row>
    <row r="49" spans="1:7" x14ac:dyDescent="0.25">
      <c r="A49" s="1">
        <v>38777</v>
      </c>
      <c r="B49">
        <v>2.2999999999999998</v>
      </c>
      <c r="C49">
        <v>2.2999999999999998</v>
      </c>
      <c r="D49" s="2" t="str">
        <f t="shared" si="0"/>
        <v>2006/03/01 10:00:00</v>
      </c>
      <c r="F49" s="2" t="str">
        <v>2006/02/03 10:00:00</v>
      </c>
      <c r="G49">
        <f t="shared" si="1"/>
        <v>38751</v>
      </c>
    </row>
    <row r="50" spans="1:7" x14ac:dyDescent="0.25">
      <c r="A50" s="1">
        <v>38807</v>
      </c>
      <c r="B50">
        <v>2.2000000000000002</v>
      </c>
      <c r="C50">
        <v>2.2000000000000002</v>
      </c>
      <c r="D50" s="2" t="str">
        <f t="shared" si="0"/>
        <v>2006/03/31 09:00:00</v>
      </c>
      <c r="F50" s="2" t="str">
        <v>2006/03/01 10:00:00</v>
      </c>
      <c r="G50">
        <f t="shared" si="1"/>
        <v>38777</v>
      </c>
    </row>
    <row r="51" spans="1:7" x14ac:dyDescent="0.25">
      <c r="A51" s="1">
        <v>38835</v>
      </c>
      <c r="B51">
        <v>2.2999999999999998</v>
      </c>
      <c r="C51">
        <v>2.4</v>
      </c>
      <c r="D51" s="2" t="str">
        <f t="shared" si="0"/>
        <v>2006/04/28 09:00:00</v>
      </c>
      <c r="F51" s="2" t="str">
        <v>2006/03/31 09:00:00</v>
      </c>
      <c r="G51">
        <f t="shared" si="1"/>
        <v>38807</v>
      </c>
    </row>
    <row r="52" spans="1:7" x14ac:dyDescent="0.25">
      <c r="A52" s="1">
        <v>38868</v>
      </c>
      <c r="B52">
        <v>2.4</v>
      </c>
      <c r="C52">
        <v>2.5</v>
      </c>
      <c r="D52" s="2" t="str">
        <f t="shared" si="0"/>
        <v>2006/05/31 09:00:00</v>
      </c>
      <c r="F52" s="2" t="str">
        <v>2006/04/28 09:00:00</v>
      </c>
      <c r="G52">
        <f t="shared" si="1"/>
        <v>38835</v>
      </c>
    </row>
    <row r="53" spans="1:7" x14ac:dyDescent="0.25">
      <c r="A53" s="1">
        <v>38898</v>
      </c>
      <c r="B53">
        <v>2.4</v>
      </c>
      <c r="C53">
        <v>2.5</v>
      </c>
      <c r="D53" s="2" t="str">
        <f t="shared" si="0"/>
        <v>2006/06/30 09:00:00</v>
      </c>
      <c r="F53" s="2" t="str">
        <v>2006/05/31 09:00:00</v>
      </c>
      <c r="G53">
        <f t="shared" si="1"/>
        <v>38868</v>
      </c>
    </row>
    <row r="54" spans="1:7" x14ac:dyDescent="0.25">
      <c r="A54" s="1">
        <v>38929</v>
      </c>
      <c r="B54">
        <v>2.5</v>
      </c>
      <c r="C54">
        <v>2.5</v>
      </c>
      <c r="D54" s="2" t="str">
        <f t="shared" si="0"/>
        <v>2006/07/31 09:00:00</v>
      </c>
      <c r="F54" s="2" t="str">
        <v>2006/06/30 09:00:00</v>
      </c>
      <c r="G54">
        <f t="shared" si="1"/>
        <v>38898</v>
      </c>
    </row>
    <row r="55" spans="1:7" x14ac:dyDescent="0.25">
      <c r="A55" s="1">
        <v>38960</v>
      </c>
      <c r="B55">
        <v>2.2999999999999998</v>
      </c>
      <c r="C55">
        <v>2.2999999999999998</v>
      </c>
      <c r="D55" s="2" t="str">
        <f t="shared" si="0"/>
        <v>2006/08/31 09:00:00</v>
      </c>
      <c r="F55" s="2" t="str">
        <v>2006/07/31 09:00:00</v>
      </c>
      <c r="G55">
        <f t="shared" si="1"/>
        <v>38929</v>
      </c>
    </row>
    <row r="56" spans="1:7" x14ac:dyDescent="0.25">
      <c r="A56" s="1">
        <v>38989</v>
      </c>
      <c r="B56">
        <v>1.9</v>
      </c>
      <c r="C56">
        <v>1.8</v>
      </c>
      <c r="D56" s="2" t="str">
        <f t="shared" si="0"/>
        <v>2006/09/29 09:00:00</v>
      </c>
      <c r="F56" s="2" t="str">
        <v>2006/08/31 09:00:00</v>
      </c>
      <c r="G56">
        <f t="shared" si="1"/>
        <v>38960</v>
      </c>
    </row>
    <row r="57" spans="1:7" x14ac:dyDescent="0.25">
      <c r="A57" s="1">
        <v>39021</v>
      </c>
      <c r="B57">
        <v>1.7</v>
      </c>
      <c r="C57">
        <v>1.6</v>
      </c>
      <c r="D57" s="2" t="str">
        <f t="shared" si="0"/>
        <v>2006/10/31 10:00:00</v>
      </c>
      <c r="F57" s="2" t="str">
        <v>2006/09/29 09:00:00</v>
      </c>
      <c r="G57">
        <f t="shared" si="1"/>
        <v>38989</v>
      </c>
    </row>
    <row r="58" spans="1:7" x14ac:dyDescent="0.25">
      <c r="A58" s="1">
        <v>39051</v>
      </c>
      <c r="B58">
        <v>1.8</v>
      </c>
      <c r="C58">
        <v>1.8</v>
      </c>
      <c r="D58" s="2" t="str">
        <f t="shared" si="0"/>
        <v>2006/11/30 10:00:00</v>
      </c>
      <c r="F58" s="2" t="str">
        <v>2006/10/31 10:00:00</v>
      </c>
      <c r="G58">
        <f t="shared" si="1"/>
        <v>39021</v>
      </c>
    </row>
    <row r="59" spans="1:7" x14ac:dyDescent="0.25">
      <c r="A59" s="1">
        <v>39086</v>
      </c>
      <c r="B59">
        <v>1.9</v>
      </c>
      <c r="C59">
        <v>1.9</v>
      </c>
      <c r="D59" s="2" t="str">
        <f t="shared" si="0"/>
        <v>2007/01/04 10:00:00</v>
      </c>
      <c r="F59" s="2" t="str">
        <v>2006/11/30 10:00:00</v>
      </c>
      <c r="G59">
        <f t="shared" si="1"/>
        <v>39051</v>
      </c>
    </row>
    <row r="60" spans="1:7" x14ac:dyDescent="0.25">
      <c r="A60" s="1">
        <v>39113</v>
      </c>
      <c r="B60">
        <v>2.1</v>
      </c>
      <c r="C60">
        <v>1.9</v>
      </c>
      <c r="D60" s="2" t="str">
        <f t="shared" si="0"/>
        <v>2007/01/31 10:00:00</v>
      </c>
      <c r="F60" s="2" t="str">
        <v>2007/01/04 10:00:00</v>
      </c>
      <c r="G60">
        <f t="shared" si="1"/>
        <v>39086</v>
      </c>
    </row>
    <row r="61" spans="1:7" x14ac:dyDescent="0.25">
      <c r="A61" s="1">
        <v>39142</v>
      </c>
      <c r="B61">
        <v>1.9</v>
      </c>
      <c r="C61">
        <v>1.8</v>
      </c>
      <c r="D61" s="2" t="str">
        <f t="shared" si="0"/>
        <v>2007/03/01 10:00:00</v>
      </c>
      <c r="F61" s="2" t="str">
        <v>2007/01/31 10:00:00</v>
      </c>
      <c r="G61">
        <f t="shared" si="1"/>
        <v>39113</v>
      </c>
    </row>
    <row r="62" spans="1:7" x14ac:dyDescent="0.25">
      <c r="A62" s="1">
        <v>39171</v>
      </c>
      <c r="B62">
        <v>1.9</v>
      </c>
      <c r="C62">
        <v>1.9</v>
      </c>
      <c r="D62" s="2" t="str">
        <f t="shared" si="0"/>
        <v>2007/03/30 09:00:00</v>
      </c>
      <c r="F62" s="2" t="str">
        <v>2007/03/01 10:00:00</v>
      </c>
      <c r="G62">
        <f t="shared" si="1"/>
        <v>39142</v>
      </c>
    </row>
    <row r="63" spans="1:7" x14ac:dyDescent="0.25">
      <c r="A63" s="1">
        <v>39202</v>
      </c>
      <c r="B63">
        <v>1.8</v>
      </c>
      <c r="C63">
        <v>1.8</v>
      </c>
      <c r="D63" s="2" t="str">
        <f t="shared" si="0"/>
        <v>2007/04/30 09:00:00</v>
      </c>
      <c r="F63" s="2" t="str">
        <v>2007/03/30 09:00:00</v>
      </c>
      <c r="G63">
        <f t="shared" si="1"/>
        <v>39171</v>
      </c>
    </row>
    <row r="64" spans="1:7" x14ac:dyDescent="0.25">
      <c r="A64" s="1">
        <v>39233</v>
      </c>
      <c r="B64">
        <v>1.9</v>
      </c>
      <c r="C64">
        <v>1.9</v>
      </c>
      <c r="D64" s="2" t="str">
        <f t="shared" si="0"/>
        <v>2007/05/31 09:00:00</v>
      </c>
      <c r="F64" s="2" t="str">
        <v>2007/04/30 09:00:00</v>
      </c>
      <c r="G64">
        <f t="shared" si="1"/>
        <v>39202</v>
      </c>
    </row>
    <row r="65" spans="1:7" x14ac:dyDescent="0.25">
      <c r="A65" s="1">
        <v>39262</v>
      </c>
      <c r="B65">
        <v>1.9</v>
      </c>
      <c r="C65">
        <v>1.9</v>
      </c>
      <c r="D65" s="2" t="str">
        <f t="shared" si="0"/>
        <v>2007/06/29 09:00:00</v>
      </c>
      <c r="F65" s="2" t="str">
        <v>2007/05/31 09:00:00</v>
      </c>
      <c r="G65">
        <f t="shared" si="1"/>
        <v>39233</v>
      </c>
    </row>
    <row r="66" spans="1:7" x14ac:dyDescent="0.25">
      <c r="A66" s="1">
        <v>39294</v>
      </c>
      <c r="B66">
        <v>1.9</v>
      </c>
      <c r="C66">
        <v>1.8</v>
      </c>
      <c r="D66" s="2" t="str">
        <f t="shared" ref="D66:D129" si="2">IFERROR(_xlfn.XLOOKUP(A66,$G:$G,$F:$F,""),"")</f>
        <v>2007/07/31 09:00:00</v>
      </c>
      <c r="F66" s="2" t="str">
        <v>2007/06/29 09:00:00</v>
      </c>
      <c r="G66">
        <f t="shared" ref="G66:G129" si="3">IFERROR(INT(F66),"")</f>
        <v>39262</v>
      </c>
    </row>
    <row r="67" spans="1:7" x14ac:dyDescent="0.25">
      <c r="A67" s="1">
        <v>39325</v>
      </c>
      <c r="B67">
        <v>1.8</v>
      </c>
      <c r="C67">
        <v>1.8</v>
      </c>
      <c r="D67" s="2" t="str">
        <f t="shared" si="2"/>
        <v>2007/08/31 09:00:00</v>
      </c>
      <c r="F67" s="2" t="str">
        <v>2007/07/31 09:00:00</v>
      </c>
      <c r="G67">
        <f t="shared" si="3"/>
        <v>39294</v>
      </c>
    </row>
    <row r="68" spans="1:7" x14ac:dyDescent="0.25">
      <c r="A68" s="1">
        <v>39353</v>
      </c>
      <c r="B68">
        <v>2.1</v>
      </c>
      <c r="C68">
        <v>2.1</v>
      </c>
      <c r="D68" s="2" t="str">
        <f t="shared" si="2"/>
        <v>2007/09/28 09:00:00</v>
      </c>
      <c r="F68" s="2" t="str">
        <v>2007/08/31 09:00:00</v>
      </c>
      <c r="G68">
        <f t="shared" si="3"/>
        <v>39325</v>
      </c>
    </row>
    <row r="69" spans="1:7" x14ac:dyDescent="0.25">
      <c r="A69" s="1">
        <v>39386</v>
      </c>
      <c r="B69">
        <v>2.2999999999999998</v>
      </c>
      <c r="C69">
        <v>2.6</v>
      </c>
      <c r="D69" s="2" t="str">
        <f t="shared" si="2"/>
        <v>2007/10/31 10:00:00</v>
      </c>
      <c r="F69" s="2" t="str">
        <v>2007/09/28 09:00:00</v>
      </c>
      <c r="G69">
        <f t="shared" si="3"/>
        <v>39353</v>
      </c>
    </row>
    <row r="70" spans="1:7" x14ac:dyDescent="0.25">
      <c r="A70" s="1">
        <v>39416</v>
      </c>
      <c r="B70">
        <v>2.9</v>
      </c>
      <c r="C70">
        <v>3</v>
      </c>
      <c r="D70" s="2" t="str">
        <f t="shared" si="2"/>
        <v>2007/11/30 10:00:00</v>
      </c>
      <c r="F70" s="2" t="str">
        <v>2007/10/31 10:00:00</v>
      </c>
      <c r="G70">
        <f t="shared" si="3"/>
        <v>39386</v>
      </c>
    </row>
    <row r="71" spans="1:7" x14ac:dyDescent="0.25">
      <c r="A71" s="1">
        <v>39451</v>
      </c>
      <c r="B71">
        <v>3.1</v>
      </c>
      <c r="C71">
        <v>3.1</v>
      </c>
      <c r="D71" s="2" t="str">
        <f t="shared" si="2"/>
        <v>2008/01/04 10:00:00</v>
      </c>
      <c r="F71" s="2" t="str">
        <v>2007/11/30 10:00:00</v>
      </c>
      <c r="G71">
        <f t="shared" si="3"/>
        <v>39416</v>
      </c>
    </row>
    <row r="72" spans="1:7" x14ac:dyDescent="0.25">
      <c r="A72" s="1">
        <v>39478</v>
      </c>
      <c r="B72">
        <v>3.1</v>
      </c>
      <c r="C72">
        <v>3.2</v>
      </c>
      <c r="D72" s="2" t="str">
        <f t="shared" si="2"/>
        <v>2008/01/31 10:00:00</v>
      </c>
      <c r="F72" s="2" t="str">
        <v>2008/01/04 10:00:00</v>
      </c>
      <c r="G72">
        <f t="shared" si="3"/>
        <v>39451</v>
      </c>
    </row>
    <row r="73" spans="1:7" x14ac:dyDescent="0.25">
      <c r="A73" s="1">
        <v>39510</v>
      </c>
      <c r="B73">
        <v>3.2</v>
      </c>
      <c r="C73">
        <v>3.2</v>
      </c>
      <c r="D73" s="2" t="str">
        <f t="shared" si="2"/>
        <v>2008/03/03 10:00:00</v>
      </c>
      <c r="F73" s="2" t="str">
        <v>2008/01/31 10:00:00</v>
      </c>
      <c r="G73">
        <f t="shared" si="3"/>
        <v>39478</v>
      </c>
    </row>
    <row r="74" spans="1:7" x14ac:dyDescent="0.25">
      <c r="A74" s="1">
        <v>39538</v>
      </c>
      <c r="B74">
        <v>3.3</v>
      </c>
      <c r="C74">
        <v>3.5</v>
      </c>
      <c r="D74" s="2" t="str">
        <f t="shared" si="2"/>
        <v>2008/03/31 09:00:00</v>
      </c>
      <c r="F74" s="2" t="str">
        <v>2008/03/03 10:00:00</v>
      </c>
      <c r="G74">
        <f t="shared" si="3"/>
        <v>39510</v>
      </c>
    </row>
    <row r="75" spans="1:7" x14ac:dyDescent="0.25">
      <c r="A75" s="1">
        <v>39568</v>
      </c>
      <c r="B75">
        <v>3.4</v>
      </c>
      <c r="C75">
        <v>3.3</v>
      </c>
      <c r="D75" s="2" t="str">
        <f t="shared" si="2"/>
        <v>2008/04/30 09:00:00</v>
      </c>
      <c r="F75" s="2" t="str">
        <v>2008/03/31 09:00:00</v>
      </c>
      <c r="G75">
        <f t="shared" si="3"/>
        <v>39538</v>
      </c>
    </row>
    <row r="76" spans="1:7" x14ac:dyDescent="0.25">
      <c r="A76" s="1">
        <v>39598</v>
      </c>
      <c r="B76">
        <v>3.5</v>
      </c>
      <c r="C76">
        <v>3.6</v>
      </c>
      <c r="D76" s="2" t="str">
        <f t="shared" si="2"/>
        <v>2008/05/30 09:00:00</v>
      </c>
      <c r="F76" s="2" t="str">
        <v>2008/04/30 09:00:00</v>
      </c>
      <c r="G76">
        <f t="shared" si="3"/>
        <v>39568</v>
      </c>
    </row>
    <row r="77" spans="1:7" x14ac:dyDescent="0.25">
      <c r="A77" s="1">
        <v>39629</v>
      </c>
      <c r="B77">
        <v>3.9</v>
      </c>
      <c r="C77">
        <v>4</v>
      </c>
      <c r="D77" s="2" t="str">
        <f t="shared" si="2"/>
        <v>2008/06/30 09:00:00</v>
      </c>
      <c r="F77" s="2" t="str">
        <v>2008/05/30 09:00:00</v>
      </c>
      <c r="G77">
        <f t="shared" si="3"/>
        <v>39598</v>
      </c>
    </row>
    <row r="78" spans="1:7" x14ac:dyDescent="0.25">
      <c r="A78" s="1">
        <v>39660</v>
      </c>
      <c r="B78">
        <v>4.0999999999999996</v>
      </c>
      <c r="C78">
        <v>4.0999999999999996</v>
      </c>
      <c r="D78" s="2" t="str">
        <f t="shared" si="2"/>
        <v>2008/07/31 09:00:00</v>
      </c>
      <c r="F78" s="2" t="str">
        <v>2008/06/30 09:00:00</v>
      </c>
      <c r="G78">
        <f t="shared" si="3"/>
        <v>39629</v>
      </c>
    </row>
    <row r="79" spans="1:7" x14ac:dyDescent="0.25">
      <c r="A79" s="1">
        <v>39689</v>
      </c>
      <c r="B79">
        <v>4</v>
      </c>
      <c r="C79">
        <v>3.8</v>
      </c>
      <c r="D79" s="2" t="str">
        <f t="shared" si="2"/>
        <v>2008/08/29 09:00:00</v>
      </c>
      <c r="F79" s="2" t="str">
        <v>2008/07/31 09:00:00</v>
      </c>
      <c r="G79">
        <f t="shared" si="3"/>
        <v>39660</v>
      </c>
    </row>
    <row r="80" spans="1:7" x14ac:dyDescent="0.25">
      <c r="A80" s="1">
        <v>39721</v>
      </c>
      <c r="B80">
        <v>3.6</v>
      </c>
      <c r="C80">
        <v>3.6</v>
      </c>
      <c r="D80" s="2" t="str">
        <f t="shared" si="2"/>
        <v>2008/09/30 09:00:00</v>
      </c>
      <c r="F80" s="2" t="str">
        <v>2008/08/29 09:00:00</v>
      </c>
      <c r="G80">
        <f t="shared" si="3"/>
        <v>39689</v>
      </c>
    </row>
    <row r="81" spans="1:7" x14ac:dyDescent="0.25">
      <c r="A81" s="1">
        <v>39752</v>
      </c>
      <c r="B81">
        <v>3.2</v>
      </c>
      <c r="C81">
        <v>3.2</v>
      </c>
      <c r="D81" s="2" t="str">
        <f t="shared" si="2"/>
        <v>2008/10/31 10:00:00</v>
      </c>
      <c r="F81" s="2" t="str">
        <v>2008/09/30 09:00:00</v>
      </c>
      <c r="G81">
        <f t="shared" si="3"/>
        <v>39721</v>
      </c>
    </row>
    <row r="82" spans="1:7" x14ac:dyDescent="0.25">
      <c r="A82" s="1">
        <v>39780</v>
      </c>
      <c r="B82">
        <v>2.4</v>
      </c>
      <c r="C82">
        <v>2.1</v>
      </c>
      <c r="D82" s="2" t="str">
        <f t="shared" si="2"/>
        <v>2008/11/28 10:00:00</v>
      </c>
      <c r="F82" s="2" t="str">
        <v>2008/10/31 10:00:00</v>
      </c>
      <c r="G82">
        <f t="shared" si="3"/>
        <v>39752</v>
      </c>
    </row>
    <row r="83" spans="1:7" x14ac:dyDescent="0.25">
      <c r="A83" s="1">
        <v>39819</v>
      </c>
      <c r="B83">
        <v>1.8</v>
      </c>
      <c r="C83">
        <v>1.6</v>
      </c>
      <c r="D83" s="2" t="str">
        <f t="shared" si="2"/>
        <v>2009/01/06 10:00:00</v>
      </c>
      <c r="F83" s="2" t="str">
        <v>2008/11/28 10:00:00</v>
      </c>
      <c r="G83">
        <f t="shared" si="3"/>
        <v>39780</v>
      </c>
    </row>
    <row r="84" spans="1:7" x14ac:dyDescent="0.25">
      <c r="A84" s="1">
        <v>39843</v>
      </c>
      <c r="B84">
        <v>1.4</v>
      </c>
      <c r="C84">
        <v>1.1000000000000001</v>
      </c>
      <c r="D84" s="2" t="str">
        <f t="shared" si="2"/>
        <v>2009/01/30 10:00:00</v>
      </c>
      <c r="F84" s="2" t="str">
        <v>2009/01/06 10:00:00</v>
      </c>
      <c r="G84">
        <f t="shared" si="3"/>
        <v>39819</v>
      </c>
    </row>
    <row r="85" spans="1:7" x14ac:dyDescent="0.25">
      <c r="A85" s="1">
        <v>39874</v>
      </c>
      <c r="B85">
        <v>1</v>
      </c>
      <c r="C85">
        <v>1.2</v>
      </c>
      <c r="D85" s="2" t="str">
        <f t="shared" si="2"/>
        <v>2009/03/02 10:00:00</v>
      </c>
      <c r="F85" s="2" t="str">
        <v>2009/01/30 10:00:00</v>
      </c>
      <c r="G85">
        <f t="shared" si="3"/>
        <v>39843</v>
      </c>
    </row>
    <row r="86" spans="1:7" x14ac:dyDescent="0.25">
      <c r="A86" s="1">
        <v>39903</v>
      </c>
      <c r="B86">
        <v>0.7</v>
      </c>
      <c r="C86">
        <v>0.6</v>
      </c>
      <c r="D86" s="2" t="str">
        <f t="shared" si="2"/>
        <v>2009/03/31 09:00:00</v>
      </c>
      <c r="F86" s="2" t="str">
        <v>2009/03/02 10:00:00</v>
      </c>
      <c r="G86">
        <f t="shared" si="3"/>
        <v>39874</v>
      </c>
    </row>
    <row r="87" spans="1:7" x14ac:dyDescent="0.25">
      <c r="A87" s="1">
        <v>39933</v>
      </c>
      <c r="B87">
        <v>0.7</v>
      </c>
      <c r="C87">
        <v>0.6</v>
      </c>
      <c r="D87" s="2" t="str">
        <f t="shared" si="2"/>
        <v>2009/04/30 09:00:00</v>
      </c>
      <c r="F87" s="2" t="str">
        <v>2009/03/31 09:00:00</v>
      </c>
      <c r="G87">
        <f t="shared" si="3"/>
        <v>39903</v>
      </c>
    </row>
    <row r="88" spans="1:7" x14ac:dyDescent="0.25">
      <c r="A88" s="1">
        <v>39962</v>
      </c>
      <c r="B88">
        <v>0.2</v>
      </c>
      <c r="C88">
        <v>0</v>
      </c>
      <c r="D88" s="2" t="str">
        <f t="shared" si="2"/>
        <v>2009/05/29 09:00:00</v>
      </c>
      <c r="F88" s="2" t="str">
        <v>2009/04/30 09:00:00</v>
      </c>
      <c r="G88">
        <f t="shared" si="3"/>
        <v>39933</v>
      </c>
    </row>
    <row r="89" spans="1:7" x14ac:dyDescent="0.25">
      <c r="A89" s="1">
        <v>39994</v>
      </c>
      <c r="B89">
        <v>-0.2</v>
      </c>
      <c r="C89">
        <v>-0.1</v>
      </c>
      <c r="D89" s="2" t="str">
        <f t="shared" si="2"/>
        <v>2009/06/30 09:00:00</v>
      </c>
      <c r="F89" s="2" t="str">
        <v>2009/05/29 09:00:00</v>
      </c>
      <c r="G89">
        <f t="shared" si="3"/>
        <v>39962</v>
      </c>
    </row>
    <row r="90" spans="1:7" x14ac:dyDescent="0.25">
      <c r="A90" s="1">
        <v>40025</v>
      </c>
      <c r="B90">
        <v>-0.4</v>
      </c>
      <c r="C90">
        <v>-0.6</v>
      </c>
      <c r="D90" s="2" t="str">
        <f t="shared" si="2"/>
        <v>2009/07/31 09:00:00</v>
      </c>
      <c r="F90" s="2" t="str">
        <v>2009/06/30 09:00:00</v>
      </c>
      <c r="G90">
        <f t="shared" si="3"/>
        <v>39994</v>
      </c>
    </row>
    <row r="91" spans="1:7" x14ac:dyDescent="0.25">
      <c r="A91" s="1">
        <v>40056</v>
      </c>
      <c r="B91">
        <v>-0.3</v>
      </c>
      <c r="C91">
        <v>-0.2</v>
      </c>
      <c r="D91" s="2" t="str">
        <f t="shared" si="2"/>
        <v>2009/08/31 09:00:00</v>
      </c>
      <c r="F91" s="2" t="str">
        <v>2009/07/31 09:00:00</v>
      </c>
      <c r="G91">
        <f t="shared" si="3"/>
        <v>40025</v>
      </c>
    </row>
    <row r="92" spans="1:7" x14ac:dyDescent="0.25">
      <c r="A92" s="1">
        <v>40086</v>
      </c>
      <c r="B92">
        <v>-0.2</v>
      </c>
      <c r="C92">
        <v>-0.3</v>
      </c>
      <c r="D92" s="2" t="str">
        <f t="shared" si="2"/>
        <v>2009/09/30 09:00:00</v>
      </c>
      <c r="F92" s="2" t="str">
        <v>2009/08/31 09:00:00</v>
      </c>
      <c r="G92">
        <f t="shared" si="3"/>
        <v>40056</v>
      </c>
    </row>
    <row r="93" spans="1:7" x14ac:dyDescent="0.25">
      <c r="A93" s="1">
        <v>40116</v>
      </c>
      <c r="B93">
        <v>-0.1</v>
      </c>
      <c r="C93">
        <v>-0.1</v>
      </c>
      <c r="D93" s="2" t="str">
        <f t="shared" si="2"/>
        <v>2009/10/30 10:00:00</v>
      </c>
      <c r="F93" s="2" t="str">
        <v>2009/09/30 09:00:00</v>
      </c>
      <c r="G93">
        <f t="shared" si="3"/>
        <v>40086</v>
      </c>
    </row>
    <row r="94" spans="1:7" x14ac:dyDescent="0.25">
      <c r="A94" s="1">
        <v>40147</v>
      </c>
      <c r="B94">
        <v>0.4</v>
      </c>
      <c r="C94">
        <v>0.6</v>
      </c>
      <c r="D94" s="2" t="str">
        <f t="shared" si="2"/>
        <v>2009/11/30 10:00:00</v>
      </c>
      <c r="F94" s="2" t="str">
        <v>2009/10/30 10:00:00</v>
      </c>
      <c r="G94">
        <f t="shared" si="3"/>
        <v>40116</v>
      </c>
    </row>
    <row r="95" spans="1:7" x14ac:dyDescent="0.25">
      <c r="A95" s="1">
        <v>40183</v>
      </c>
      <c r="B95">
        <v>0.9</v>
      </c>
      <c r="C95">
        <v>0.9</v>
      </c>
      <c r="D95" s="2" t="str">
        <f t="shared" si="2"/>
        <v>2010/01/05 10:00:00</v>
      </c>
      <c r="F95" s="2" t="str">
        <v>2009/11/30 10:00:00</v>
      </c>
      <c r="G95">
        <f t="shared" si="3"/>
        <v>40147</v>
      </c>
    </row>
    <row r="96" spans="1:7" x14ac:dyDescent="0.25">
      <c r="A96" s="1">
        <v>40207</v>
      </c>
      <c r="B96">
        <v>1.2</v>
      </c>
      <c r="C96">
        <v>1</v>
      </c>
      <c r="D96" s="2" t="str">
        <f t="shared" si="2"/>
        <v>2010/01/29 10:00:00</v>
      </c>
      <c r="F96" s="2" t="str">
        <v>2010/01/05 10:00:00</v>
      </c>
      <c r="G96">
        <f t="shared" si="3"/>
        <v>40183</v>
      </c>
    </row>
    <row r="97" spans="1:7" x14ac:dyDescent="0.25">
      <c r="A97" s="1">
        <v>40239</v>
      </c>
      <c r="B97">
        <v>0.9</v>
      </c>
      <c r="C97">
        <v>0.9</v>
      </c>
      <c r="D97" s="2" t="str">
        <f t="shared" si="2"/>
        <v>2010/03/02 10:00:00</v>
      </c>
      <c r="F97" s="2" t="str">
        <v>2010/01/29 10:00:00</v>
      </c>
      <c r="G97">
        <f t="shared" si="3"/>
        <v>40207</v>
      </c>
    </row>
    <row r="98" spans="1:7" x14ac:dyDescent="0.25">
      <c r="A98" s="1">
        <v>40268</v>
      </c>
      <c r="B98">
        <v>1.1000000000000001</v>
      </c>
      <c r="C98">
        <v>1.5</v>
      </c>
      <c r="D98" s="2" t="str">
        <f t="shared" si="2"/>
        <v>2010/03/31 09:00:00</v>
      </c>
      <c r="F98" s="2" t="str">
        <v>2010/03/02 10:00:00</v>
      </c>
      <c r="G98">
        <f t="shared" si="3"/>
        <v>40239</v>
      </c>
    </row>
    <row r="99" spans="1:7" x14ac:dyDescent="0.25">
      <c r="A99" s="1">
        <v>40298</v>
      </c>
      <c r="B99">
        <v>1.5</v>
      </c>
      <c r="C99">
        <v>1.5</v>
      </c>
      <c r="D99" s="2" t="str">
        <f t="shared" si="2"/>
        <v>2010/04/30 09:00:00</v>
      </c>
      <c r="F99" s="2" t="str">
        <v>2010/03/31 09:00:00</v>
      </c>
      <c r="G99">
        <f t="shared" si="3"/>
        <v>40268</v>
      </c>
    </row>
    <row r="100" spans="1:7" x14ac:dyDescent="0.25">
      <c r="A100" s="1">
        <v>40329</v>
      </c>
      <c r="B100">
        <v>1.7</v>
      </c>
      <c r="C100">
        <v>1.6</v>
      </c>
      <c r="D100" s="2" t="str">
        <f t="shared" si="2"/>
        <v>2010/05/31 09:00:00</v>
      </c>
      <c r="F100" s="2" t="str">
        <v>2010/04/30 09:00:00</v>
      </c>
      <c r="G100">
        <f t="shared" si="3"/>
        <v>40298</v>
      </c>
    </row>
    <row r="101" spans="1:7" x14ac:dyDescent="0.25">
      <c r="A101" s="1">
        <v>40359</v>
      </c>
      <c r="B101">
        <v>1.5</v>
      </c>
      <c r="C101">
        <v>1.4</v>
      </c>
      <c r="D101" s="2" t="str">
        <f t="shared" si="2"/>
        <v>2010/06/30 09:00:00</v>
      </c>
      <c r="F101" s="2" t="str">
        <v>2010/05/31 09:00:00</v>
      </c>
      <c r="G101">
        <f t="shared" si="3"/>
        <v>40329</v>
      </c>
    </row>
    <row r="102" spans="1:7" x14ac:dyDescent="0.25">
      <c r="A102" s="1">
        <v>40389</v>
      </c>
      <c r="B102">
        <v>1.7</v>
      </c>
      <c r="C102">
        <v>1.7</v>
      </c>
      <c r="D102" s="2" t="str">
        <f t="shared" si="2"/>
        <v>2010/07/30 09:00:00</v>
      </c>
      <c r="F102" s="2" t="str">
        <v>2010/06/30 09:00:00</v>
      </c>
      <c r="G102">
        <f t="shared" si="3"/>
        <v>40359</v>
      </c>
    </row>
    <row r="103" spans="1:7" x14ac:dyDescent="0.25">
      <c r="A103" s="1">
        <v>40421</v>
      </c>
      <c r="B103">
        <v>1.6</v>
      </c>
      <c r="C103">
        <v>1.6</v>
      </c>
      <c r="D103" s="2" t="str">
        <f t="shared" si="2"/>
        <v>2010/08/31 09:00:00</v>
      </c>
      <c r="F103" s="2" t="str">
        <v>2010/07/30 09:00:00</v>
      </c>
      <c r="G103">
        <f t="shared" si="3"/>
        <v>40389</v>
      </c>
    </row>
    <row r="104" spans="1:7" x14ac:dyDescent="0.25">
      <c r="A104" s="1">
        <v>40451</v>
      </c>
      <c r="B104">
        <v>1.8</v>
      </c>
      <c r="C104">
        <v>1.8</v>
      </c>
      <c r="D104" s="2" t="str">
        <f t="shared" si="2"/>
        <v>2010/09/30 09:00:00</v>
      </c>
      <c r="F104" s="2" t="str">
        <v>2010/08/31 09:00:00</v>
      </c>
      <c r="G104">
        <f t="shared" si="3"/>
        <v>40421</v>
      </c>
    </row>
    <row r="105" spans="1:7" x14ac:dyDescent="0.25">
      <c r="A105" s="1">
        <v>40480</v>
      </c>
      <c r="B105">
        <v>1.8</v>
      </c>
      <c r="C105">
        <v>1.9</v>
      </c>
      <c r="D105" s="2" t="str">
        <f t="shared" si="2"/>
        <v>2010/10/29 09:00:00</v>
      </c>
      <c r="F105" s="2" t="str">
        <v>2010/09/30 09:00:00</v>
      </c>
      <c r="G105">
        <f t="shared" si="3"/>
        <v>40451</v>
      </c>
    </row>
    <row r="106" spans="1:7" x14ac:dyDescent="0.25">
      <c r="A106" s="1">
        <v>40512</v>
      </c>
      <c r="B106">
        <v>1.9</v>
      </c>
      <c r="C106">
        <v>1.9</v>
      </c>
      <c r="D106" s="2" t="str">
        <f t="shared" si="2"/>
        <v>2010/11/30 10:00:00</v>
      </c>
      <c r="F106" s="2" t="str">
        <v>2010/10/29 09:00:00</v>
      </c>
      <c r="G106">
        <f t="shared" si="3"/>
        <v>40480</v>
      </c>
    </row>
    <row r="107" spans="1:7" x14ac:dyDescent="0.25">
      <c r="A107" s="1">
        <v>40547</v>
      </c>
      <c r="B107">
        <v>2</v>
      </c>
      <c r="C107">
        <v>2.2000000000000002</v>
      </c>
      <c r="D107" s="2" t="str">
        <f t="shared" si="2"/>
        <v>2011/01/04 10:00:00</v>
      </c>
      <c r="F107" s="2" t="str">
        <v>2010/11/30 10:00:00</v>
      </c>
      <c r="G107">
        <f t="shared" si="3"/>
        <v>40512</v>
      </c>
    </row>
    <row r="108" spans="1:7" x14ac:dyDescent="0.25">
      <c r="A108" s="1">
        <v>40574</v>
      </c>
      <c r="B108">
        <v>2.2999999999999998</v>
      </c>
      <c r="C108">
        <v>2.4</v>
      </c>
      <c r="D108" s="2" t="str">
        <f t="shared" si="2"/>
        <v>2011/01/31 10:00:00</v>
      </c>
      <c r="F108" s="2" t="str">
        <v>2011/01/04 10:00:00</v>
      </c>
      <c r="G108">
        <f t="shared" si="3"/>
        <v>40547</v>
      </c>
    </row>
    <row r="109" spans="1:7" x14ac:dyDescent="0.25">
      <c r="A109" s="1">
        <v>40603</v>
      </c>
      <c r="B109">
        <v>2.4</v>
      </c>
      <c r="C109">
        <v>2.4</v>
      </c>
      <c r="D109" s="2" t="str">
        <f t="shared" si="2"/>
        <v>2011/03/01 10:00:00</v>
      </c>
      <c r="F109" s="2" t="str">
        <v>2011/01/31 10:00:00</v>
      </c>
      <c r="G109">
        <f t="shared" si="3"/>
        <v>40574</v>
      </c>
    </row>
    <row r="110" spans="1:7" x14ac:dyDescent="0.25">
      <c r="A110" s="1">
        <v>40633</v>
      </c>
      <c r="B110">
        <v>2.4</v>
      </c>
      <c r="C110">
        <v>2.6</v>
      </c>
      <c r="D110" s="2" t="str">
        <f t="shared" si="2"/>
        <v>2011/03/31 09:00:00</v>
      </c>
      <c r="F110" s="2" t="str">
        <v>2011/03/01 10:00:00</v>
      </c>
      <c r="G110">
        <f t="shared" si="3"/>
        <v>40603</v>
      </c>
    </row>
    <row r="111" spans="1:7" x14ac:dyDescent="0.25">
      <c r="A111" s="1">
        <v>40662</v>
      </c>
      <c r="B111">
        <v>2.7</v>
      </c>
      <c r="C111">
        <v>2.8</v>
      </c>
      <c r="D111" s="2" t="str">
        <f t="shared" si="2"/>
        <v>2011/04/29 09:00:00</v>
      </c>
      <c r="F111" s="2" t="str">
        <v>2011/03/31 09:00:00</v>
      </c>
      <c r="G111">
        <f t="shared" si="3"/>
        <v>40633</v>
      </c>
    </row>
    <row r="112" spans="1:7" x14ac:dyDescent="0.25">
      <c r="A112" s="1">
        <v>40694</v>
      </c>
      <c r="B112">
        <v>2.8</v>
      </c>
      <c r="C112">
        <v>2.7</v>
      </c>
      <c r="D112" s="2" t="str">
        <f t="shared" si="2"/>
        <v>2011/05/31 09:00:00</v>
      </c>
      <c r="F112" s="2" t="str">
        <v>2011/04/29 09:00:00</v>
      </c>
      <c r="G112">
        <f t="shared" si="3"/>
        <v>40662</v>
      </c>
    </row>
    <row r="113" spans="1:7" x14ac:dyDescent="0.25">
      <c r="A113" s="1">
        <v>40724</v>
      </c>
      <c r="B113">
        <v>2.8</v>
      </c>
      <c r="C113">
        <v>2.7</v>
      </c>
      <c r="D113" s="2" t="str">
        <f t="shared" si="2"/>
        <v>2011/06/30 09:00:00</v>
      </c>
      <c r="F113" s="2" t="str">
        <v>2011/05/31 09:00:00</v>
      </c>
      <c r="G113">
        <f t="shared" si="3"/>
        <v>40694</v>
      </c>
    </row>
    <row r="114" spans="1:7" x14ac:dyDescent="0.25">
      <c r="A114" s="1">
        <v>40753</v>
      </c>
      <c r="B114">
        <v>2.7</v>
      </c>
      <c r="C114">
        <v>2.5</v>
      </c>
      <c r="D114" s="2" t="str">
        <f t="shared" si="2"/>
        <v>2011/07/29 09:00:00</v>
      </c>
      <c r="F114" s="2" t="str">
        <v>2011/06/30 09:00:00</v>
      </c>
      <c r="G114">
        <f t="shared" si="3"/>
        <v>40724</v>
      </c>
    </row>
    <row r="115" spans="1:7" x14ac:dyDescent="0.25">
      <c r="A115" s="1">
        <v>40786</v>
      </c>
      <c r="B115">
        <v>2.5</v>
      </c>
      <c r="C115">
        <v>2.5</v>
      </c>
      <c r="D115" s="2" t="str">
        <f t="shared" si="2"/>
        <v>2011/08/31 09:00:00</v>
      </c>
      <c r="F115" s="2" t="str">
        <v>2011/07/29 09:00:00</v>
      </c>
      <c r="G115">
        <f t="shared" si="3"/>
        <v>40753</v>
      </c>
    </row>
    <row r="116" spans="1:7" x14ac:dyDescent="0.25">
      <c r="A116" s="1">
        <v>40816</v>
      </c>
      <c r="B116">
        <v>2.5</v>
      </c>
      <c r="C116">
        <v>3</v>
      </c>
      <c r="D116" s="2" t="str">
        <f t="shared" si="2"/>
        <v>2011/09/30 09:00:00</v>
      </c>
      <c r="F116" s="2" t="str">
        <v>2011/08/31 09:00:00</v>
      </c>
      <c r="G116">
        <f t="shared" si="3"/>
        <v>40786</v>
      </c>
    </row>
    <row r="117" spans="1:7" x14ac:dyDescent="0.25">
      <c r="A117" s="1">
        <v>40847</v>
      </c>
      <c r="B117">
        <v>2.9</v>
      </c>
      <c r="C117">
        <v>3</v>
      </c>
      <c r="D117" s="2" t="str">
        <f t="shared" si="2"/>
        <v>2011/10/31 10:00:00</v>
      </c>
      <c r="F117" s="2" t="str">
        <v>2011/09/30 09:00:00</v>
      </c>
      <c r="G117">
        <f t="shared" si="3"/>
        <v>40816</v>
      </c>
    </row>
    <row r="118" spans="1:7" x14ac:dyDescent="0.25">
      <c r="A118" s="1">
        <v>40877</v>
      </c>
      <c r="B118">
        <v>3</v>
      </c>
      <c r="C118">
        <v>3</v>
      </c>
      <c r="D118" s="2" t="str">
        <f t="shared" si="2"/>
        <v>2011/11/30 10:00:00</v>
      </c>
      <c r="F118" s="2" t="str">
        <v>2011/10/31 10:00:00</v>
      </c>
      <c r="G118">
        <f t="shared" si="3"/>
        <v>40847</v>
      </c>
    </row>
    <row r="119" spans="1:7" x14ac:dyDescent="0.25">
      <c r="A119" s="1">
        <v>40912</v>
      </c>
      <c r="B119">
        <v>2.8</v>
      </c>
      <c r="C119">
        <v>2.8</v>
      </c>
      <c r="D119" s="2" t="str">
        <f t="shared" si="2"/>
        <v>2012/01/04 10:00:00</v>
      </c>
      <c r="F119" s="2" t="str">
        <v>2011/11/30 10:00:00</v>
      </c>
      <c r="G119">
        <f t="shared" si="3"/>
        <v>40877</v>
      </c>
    </row>
    <row r="120" spans="1:7" x14ac:dyDescent="0.25">
      <c r="A120" s="1">
        <v>40940</v>
      </c>
      <c r="B120">
        <v>2.7</v>
      </c>
      <c r="C120">
        <v>2.7</v>
      </c>
      <c r="D120" s="2" t="str">
        <f t="shared" si="2"/>
        <v>2012/02/01 10:00:00</v>
      </c>
      <c r="F120" s="2" t="str">
        <v>2012/01/04 10:00:00</v>
      </c>
      <c r="G120">
        <f t="shared" si="3"/>
        <v>40912</v>
      </c>
    </row>
    <row r="121" spans="1:7" x14ac:dyDescent="0.25">
      <c r="A121" s="1">
        <v>40969</v>
      </c>
      <c r="B121">
        <v>2.6</v>
      </c>
      <c r="C121">
        <v>2.7</v>
      </c>
      <c r="D121" s="2" t="str">
        <f t="shared" si="2"/>
        <v>2012/03/01 10:00:00</v>
      </c>
      <c r="F121" s="2" t="str">
        <v>2012/02/01 10:00:00</v>
      </c>
      <c r="G121">
        <f t="shared" si="3"/>
        <v>40940</v>
      </c>
    </row>
    <row r="122" spans="1:7" x14ac:dyDescent="0.25">
      <c r="A122" s="1">
        <v>40998</v>
      </c>
      <c r="B122">
        <v>2.5</v>
      </c>
      <c r="C122">
        <v>2.6</v>
      </c>
      <c r="D122" s="2" t="str">
        <f t="shared" si="2"/>
        <v>2012/03/30 09:00:00</v>
      </c>
      <c r="F122" s="2" t="str">
        <v>2012/03/01 10:00:00</v>
      </c>
      <c r="G122">
        <f t="shared" si="3"/>
        <v>40969</v>
      </c>
    </row>
    <row r="123" spans="1:7" x14ac:dyDescent="0.25">
      <c r="A123" s="1">
        <v>41029</v>
      </c>
      <c r="B123">
        <v>2.5</v>
      </c>
      <c r="C123">
        <v>2.6</v>
      </c>
      <c r="D123" s="2" t="str">
        <f t="shared" si="2"/>
        <v>2012/04/30 09:00:00</v>
      </c>
      <c r="F123" s="2" t="str">
        <v>2012/03/30 09:00:00</v>
      </c>
      <c r="G123">
        <f t="shared" si="3"/>
        <v>40998</v>
      </c>
    </row>
    <row r="124" spans="1:7" x14ac:dyDescent="0.25">
      <c r="A124" s="1">
        <v>41060</v>
      </c>
      <c r="B124">
        <v>2.5</v>
      </c>
      <c r="C124">
        <v>2.4</v>
      </c>
      <c r="D124" s="2" t="str">
        <f t="shared" si="2"/>
        <v>2012/05/31 09:00:00</v>
      </c>
      <c r="F124" s="2" t="str">
        <v>2012/04/30 09:00:00</v>
      </c>
      <c r="G124">
        <f t="shared" si="3"/>
        <v>41029</v>
      </c>
    </row>
    <row r="125" spans="1:7" x14ac:dyDescent="0.25">
      <c r="A125" s="1">
        <v>41089</v>
      </c>
      <c r="B125">
        <v>2.4</v>
      </c>
      <c r="C125">
        <v>2.4</v>
      </c>
      <c r="D125" s="2" t="str">
        <f t="shared" si="2"/>
        <v>2012/06/29 09:00:00</v>
      </c>
      <c r="F125" s="2" t="str">
        <v>2012/05/31 09:00:00</v>
      </c>
      <c r="G125">
        <f t="shared" si="3"/>
        <v>41060</v>
      </c>
    </row>
    <row r="126" spans="1:7" x14ac:dyDescent="0.25">
      <c r="A126" s="1">
        <v>41121</v>
      </c>
      <c r="B126">
        <v>2.4</v>
      </c>
      <c r="C126">
        <v>2.4</v>
      </c>
      <c r="D126" s="2" t="str">
        <f t="shared" si="2"/>
        <v>2012/07/31 09:00:00</v>
      </c>
      <c r="F126" s="2" t="str">
        <v>2012/06/29 09:00:00</v>
      </c>
      <c r="G126">
        <f t="shared" si="3"/>
        <v>41089</v>
      </c>
    </row>
    <row r="127" spans="1:7" x14ac:dyDescent="0.25">
      <c r="A127" s="1">
        <v>41152</v>
      </c>
      <c r="B127">
        <v>2.5</v>
      </c>
      <c r="C127">
        <v>2.6</v>
      </c>
      <c r="D127" s="2" t="str">
        <f t="shared" si="2"/>
        <v>2012/08/31 09:00:00</v>
      </c>
      <c r="F127" s="2" t="str">
        <v>2012/07/31 09:00:00</v>
      </c>
      <c r="G127">
        <f t="shared" si="3"/>
        <v>41121</v>
      </c>
    </row>
    <row r="128" spans="1:7" x14ac:dyDescent="0.25">
      <c r="A128" s="1">
        <v>41180</v>
      </c>
      <c r="B128">
        <v>2.4</v>
      </c>
      <c r="C128">
        <v>2.7</v>
      </c>
      <c r="D128" s="2" t="str">
        <f t="shared" si="2"/>
        <v>2012/09/28 09:00:00</v>
      </c>
      <c r="F128" s="2" t="str">
        <v>2012/08/31 09:00:00</v>
      </c>
      <c r="G128">
        <f t="shared" si="3"/>
        <v>41152</v>
      </c>
    </row>
    <row r="129" spans="1:7" x14ac:dyDescent="0.25">
      <c r="A129" s="1">
        <v>41213</v>
      </c>
      <c r="B129">
        <v>2.5</v>
      </c>
      <c r="C129">
        <v>2.5</v>
      </c>
      <c r="D129" s="2" t="str">
        <f t="shared" si="2"/>
        <v>2012/10/31 10:00:00</v>
      </c>
      <c r="F129" s="2" t="str">
        <v>2012/09/28 09:00:00</v>
      </c>
      <c r="G129">
        <f t="shared" si="3"/>
        <v>41180</v>
      </c>
    </row>
    <row r="130" spans="1:7" x14ac:dyDescent="0.25">
      <c r="A130" s="1">
        <v>41243</v>
      </c>
      <c r="B130">
        <v>2.4</v>
      </c>
      <c r="C130">
        <v>2.2000000000000002</v>
      </c>
      <c r="D130" s="2" t="str">
        <f t="shared" ref="D130:D193" si="4">IFERROR(_xlfn.XLOOKUP(A130,$G:$G,$F:$F,""),"")</f>
        <v>2012/11/30 10:00:00</v>
      </c>
      <c r="F130" s="2" t="str">
        <v>2012/10/31 10:00:00</v>
      </c>
      <c r="G130">
        <f t="shared" ref="G130:G193" si="5">IFERROR(INT(F130),"")</f>
        <v>41213</v>
      </c>
    </row>
    <row r="131" spans="1:7" x14ac:dyDescent="0.25">
      <c r="A131" s="1">
        <v>41278</v>
      </c>
      <c r="B131">
        <v>2.1</v>
      </c>
      <c r="C131">
        <v>2.2000000000000002</v>
      </c>
      <c r="D131" s="2" t="str">
        <f t="shared" si="4"/>
        <v>2013/01/04 10:00:00</v>
      </c>
      <c r="F131" s="2" t="str">
        <v>2012/11/30 10:00:00</v>
      </c>
      <c r="G131">
        <f t="shared" si="5"/>
        <v>41243</v>
      </c>
    </row>
    <row r="132" spans="1:7" x14ac:dyDescent="0.25">
      <c r="A132" s="1">
        <v>41306</v>
      </c>
      <c r="B132">
        <v>2.2000000000000002</v>
      </c>
      <c r="C132">
        <v>2</v>
      </c>
      <c r="D132" s="2" t="str">
        <f t="shared" si="4"/>
        <v>2013/02/01 10:00:00</v>
      </c>
      <c r="F132" s="2" t="str">
        <v>2013/01/04 10:00:00</v>
      </c>
      <c r="G132">
        <f t="shared" si="5"/>
        <v>41278</v>
      </c>
    </row>
    <row r="133" spans="1:7" x14ac:dyDescent="0.25">
      <c r="A133" s="1">
        <v>41334</v>
      </c>
      <c r="B133">
        <v>1.9</v>
      </c>
      <c r="C133">
        <v>1.8</v>
      </c>
      <c r="D133" s="2" t="str">
        <f t="shared" si="4"/>
        <v>2013/03/01 10:00:00</v>
      </c>
      <c r="F133" s="2" t="str">
        <v>2013/02/01 10:00:00</v>
      </c>
      <c r="G133">
        <f t="shared" si="5"/>
        <v>41306</v>
      </c>
    </row>
    <row r="134" spans="1:7" x14ac:dyDescent="0.25">
      <c r="A134" s="1">
        <v>41367</v>
      </c>
      <c r="B134">
        <v>1.6</v>
      </c>
      <c r="C134">
        <v>1.7</v>
      </c>
      <c r="D134" s="2" t="str">
        <f t="shared" si="4"/>
        <v>2013/04/03 09:00:00</v>
      </c>
      <c r="F134" s="2" t="str">
        <v>2013/03/01 10:00:00</v>
      </c>
      <c r="G134">
        <f t="shared" si="5"/>
        <v>41334</v>
      </c>
    </row>
    <row r="135" spans="1:7" x14ac:dyDescent="0.25">
      <c r="A135" s="1">
        <v>41394</v>
      </c>
      <c r="B135">
        <v>1.6</v>
      </c>
      <c r="C135">
        <v>1.2</v>
      </c>
      <c r="D135" s="2" t="str">
        <f t="shared" si="4"/>
        <v>2013/04/30 09:00:00</v>
      </c>
      <c r="F135" s="2" t="str">
        <v>2013/04/03 09:00:00</v>
      </c>
      <c r="G135">
        <f t="shared" si="5"/>
        <v>41367</v>
      </c>
    </row>
    <row r="136" spans="1:7" x14ac:dyDescent="0.25">
      <c r="A136" s="1">
        <v>41425</v>
      </c>
      <c r="B136">
        <v>1.4</v>
      </c>
      <c r="C136">
        <v>1.4</v>
      </c>
      <c r="D136" s="2" t="str">
        <f t="shared" si="4"/>
        <v>2013/05/31 09:00:00</v>
      </c>
      <c r="F136" s="2" t="str">
        <v>2013/04/30 09:00:00</v>
      </c>
      <c r="G136">
        <f t="shared" si="5"/>
        <v>41394</v>
      </c>
    </row>
    <row r="137" spans="1:7" x14ac:dyDescent="0.25">
      <c r="A137" s="1">
        <v>41456</v>
      </c>
      <c r="B137">
        <v>1.6</v>
      </c>
      <c r="C137">
        <v>1.6</v>
      </c>
      <c r="D137" s="2" t="str">
        <f t="shared" si="4"/>
        <v>2013/07/01 09:00:00</v>
      </c>
      <c r="F137" s="2" t="str">
        <v>2013/05/31 09:00:00</v>
      </c>
      <c r="G137">
        <f t="shared" si="5"/>
        <v>41425</v>
      </c>
    </row>
    <row r="138" spans="1:7" x14ac:dyDescent="0.25">
      <c r="A138" s="1">
        <v>41486</v>
      </c>
      <c r="B138">
        <v>1.6</v>
      </c>
      <c r="C138">
        <v>1.6</v>
      </c>
      <c r="D138" s="2" t="str">
        <f t="shared" si="4"/>
        <v>2013/07/31 09:00:00</v>
      </c>
      <c r="F138" s="2" t="str">
        <v>2013/07/01 09:00:00</v>
      </c>
      <c r="G138">
        <f t="shared" si="5"/>
        <v>41456</v>
      </c>
    </row>
    <row r="139" spans="1:7" x14ac:dyDescent="0.25">
      <c r="A139" s="1">
        <v>41516</v>
      </c>
      <c r="B139">
        <v>1.4</v>
      </c>
      <c r="C139">
        <v>1.3</v>
      </c>
      <c r="D139" s="2" t="str">
        <f t="shared" si="4"/>
        <v>2013/08/30 09:00:00</v>
      </c>
      <c r="F139" s="2" t="str">
        <v>2013/07/31 09:00:00</v>
      </c>
      <c r="G139">
        <f t="shared" si="5"/>
        <v>41486</v>
      </c>
    </row>
    <row r="140" spans="1:7" x14ac:dyDescent="0.25">
      <c r="A140" s="1">
        <v>41547</v>
      </c>
      <c r="B140">
        <v>1.2</v>
      </c>
      <c r="C140">
        <v>1.1000000000000001</v>
      </c>
      <c r="D140" s="2" t="str">
        <f t="shared" si="4"/>
        <v>2013/09/30 09:00:00</v>
      </c>
      <c r="F140" s="2" t="str">
        <v>2013/08/30 09:00:00</v>
      </c>
      <c r="G140">
        <f t="shared" si="5"/>
        <v>41516</v>
      </c>
    </row>
    <row r="141" spans="1:7" x14ac:dyDescent="0.25">
      <c r="A141" s="1">
        <v>41578</v>
      </c>
      <c r="B141">
        <v>1.1000000000000001</v>
      </c>
      <c r="C141">
        <v>0.7</v>
      </c>
      <c r="D141" s="2" t="str">
        <f t="shared" si="4"/>
        <v>2013/10/31 10:00:00</v>
      </c>
      <c r="F141" s="2" t="str">
        <v>2013/09/30 09:00:00</v>
      </c>
      <c r="G141">
        <f t="shared" si="5"/>
        <v>41547</v>
      </c>
    </row>
    <row r="142" spans="1:7" x14ac:dyDescent="0.25">
      <c r="A142" s="1">
        <v>41607</v>
      </c>
      <c r="B142">
        <v>0.8</v>
      </c>
      <c r="C142">
        <v>0.9</v>
      </c>
      <c r="D142" s="2" t="str">
        <f t="shared" si="4"/>
        <v>2013/11/29 10:00:00</v>
      </c>
      <c r="F142" s="2" t="str">
        <v>2013/10/31 10:00:00</v>
      </c>
      <c r="G142">
        <f t="shared" si="5"/>
        <v>41578</v>
      </c>
    </row>
    <row r="143" spans="1:7" x14ac:dyDescent="0.25">
      <c r="A143" s="1">
        <v>41646</v>
      </c>
      <c r="B143">
        <v>0.8</v>
      </c>
      <c r="C143">
        <v>0.8</v>
      </c>
      <c r="D143" s="2" t="str">
        <f t="shared" si="4"/>
        <v>2014/01/07 10:00:00</v>
      </c>
      <c r="F143" s="2" t="str">
        <v>2013/11/29 10:00:00</v>
      </c>
      <c r="G143">
        <f t="shared" si="5"/>
        <v>41607</v>
      </c>
    </row>
    <row r="144" spans="1:7" x14ac:dyDescent="0.25">
      <c r="A144" s="1">
        <v>41670</v>
      </c>
      <c r="B144">
        <v>0.9</v>
      </c>
      <c r="C144">
        <v>0.7</v>
      </c>
      <c r="D144" s="2" t="str">
        <f t="shared" si="4"/>
        <v>2014/01/31 10:00:00</v>
      </c>
      <c r="F144" s="2" t="str">
        <v>2014/01/07 10:00:00</v>
      </c>
      <c r="G144">
        <f t="shared" si="5"/>
        <v>41646</v>
      </c>
    </row>
    <row r="145" spans="1:7" x14ac:dyDescent="0.25">
      <c r="A145" s="1">
        <v>41698</v>
      </c>
      <c r="B145">
        <v>0.7</v>
      </c>
      <c r="C145">
        <v>0.8</v>
      </c>
      <c r="D145" s="2" t="str">
        <f t="shared" si="4"/>
        <v>2014/02/28 10:00:00</v>
      </c>
      <c r="F145" s="2" t="str">
        <v>2014/01/31 10:00:00</v>
      </c>
      <c r="G145">
        <f t="shared" si="5"/>
        <v>41670</v>
      </c>
    </row>
    <row r="146" spans="1:7" x14ac:dyDescent="0.25">
      <c r="A146" s="1">
        <v>41729</v>
      </c>
      <c r="B146">
        <v>0.6</v>
      </c>
      <c r="C146">
        <v>0.5</v>
      </c>
      <c r="D146" s="2" t="str">
        <f t="shared" si="4"/>
        <v>2014/03/31 09:00:00</v>
      </c>
      <c r="F146" s="2" t="str">
        <v>2014/02/28 10:00:00</v>
      </c>
      <c r="G146">
        <f t="shared" si="5"/>
        <v>41698</v>
      </c>
    </row>
    <row r="147" spans="1:7" x14ac:dyDescent="0.25">
      <c r="A147" s="1">
        <v>41759</v>
      </c>
      <c r="B147">
        <v>0.8</v>
      </c>
      <c r="C147">
        <v>0.7</v>
      </c>
      <c r="D147" s="2" t="str">
        <f t="shared" si="4"/>
        <v>2014/04/30 09:00:00</v>
      </c>
      <c r="F147" s="2" t="str">
        <v>2014/03/31 09:00:00</v>
      </c>
      <c r="G147">
        <f t="shared" si="5"/>
        <v>41729</v>
      </c>
    </row>
    <row r="148" spans="1:7" x14ac:dyDescent="0.25">
      <c r="A148" s="1">
        <v>41793</v>
      </c>
      <c r="B148">
        <v>0.6</v>
      </c>
      <c r="C148">
        <v>0.5</v>
      </c>
      <c r="D148" s="2" t="str">
        <f t="shared" si="4"/>
        <v>2014/06/03 09:00:00</v>
      </c>
      <c r="F148" s="2" t="str">
        <v>2014/04/30 09:00:00</v>
      </c>
      <c r="G148">
        <f t="shared" si="5"/>
        <v>41759</v>
      </c>
    </row>
    <row r="149" spans="1:7" x14ac:dyDescent="0.25">
      <c r="A149" s="1">
        <v>41820</v>
      </c>
      <c r="B149">
        <v>0.5</v>
      </c>
      <c r="C149">
        <v>0.5</v>
      </c>
      <c r="D149" s="2" t="str">
        <f t="shared" si="4"/>
        <v>2014/06/30 09:00:00</v>
      </c>
      <c r="F149" s="2" t="str">
        <v>2014/06/03 09:00:00</v>
      </c>
      <c r="G149">
        <f t="shared" si="5"/>
        <v>41793</v>
      </c>
    </row>
    <row r="150" spans="1:7" x14ac:dyDescent="0.25">
      <c r="A150" s="1">
        <v>41851</v>
      </c>
      <c r="B150">
        <v>0.5</v>
      </c>
      <c r="C150">
        <v>0.4</v>
      </c>
      <c r="D150" s="2" t="str">
        <f t="shared" si="4"/>
        <v>2014/07/31 09:00:00</v>
      </c>
      <c r="F150" s="2" t="str">
        <v>2014/06/30 09:00:00</v>
      </c>
      <c r="G150">
        <f t="shared" si="5"/>
        <v>41820</v>
      </c>
    </row>
    <row r="151" spans="1:7" x14ac:dyDescent="0.25">
      <c r="A151" s="1">
        <v>41880</v>
      </c>
      <c r="B151">
        <v>0.3</v>
      </c>
      <c r="C151">
        <v>0.3</v>
      </c>
      <c r="D151" s="2" t="str">
        <f t="shared" si="4"/>
        <v>2014/08/29 09:00:00</v>
      </c>
      <c r="F151" s="2" t="str">
        <v>2014/07/31 09:00:00</v>
      </c>
      <c r="G151">
        <f t="shared" si="5"/>
        <v>41851</v>
      </c>
    </row>
    <row r="152" spans="1:7" x14ac:dyDescent="0.25">
      <c r="A152" s="1">
        <v>41912</v>
      </c>
      <c r="B152">
        <v>0.3</v>
      </c>
      <c r="C152">
        <v>0.3</v>
      </c>
      <c r="D152" s="2" t="str">
        <f t="shared" si="4"/>
        <v>2014/09/30 09:00:00</v>
      </c>
      <c r="F152" s="2" t="str">
        <v>2014/08/29 09:00:00</v>
      </c>
      <c r="G152">
        <f t="shared" si="5"/>
        <v>41880</v>
      </c>
    </row>
    <row r="153" spans="1:7" x14ac:dyDescent="0.25">
      <c r="A153" s="1">
        <v>41943</v>
      </c>
      <c r="B153">
        <v>0.4</v>
      </c>
      <c r="C153">
        <v>0.4</v>
      </c>
      <c r="D153" s="2" t="str">
        <f t="shared" si="4"/>
        <v>2014/10/31 10:00:00</v>
      </c>
      <c r="F153" s="2" t="str">
        <v>2014/09/30 09:00:00</v>
      </c>
      <c r="G153">
        <f t="shared" si="5"/>
        <v>41912</v>
      </c>
    </row>
    <row r="154" spans="1:7" x14ac:dyDescent="0.25">
      <c r="A154" s="1">
        <v>41971</v>
      </c>
      <c r="B154">
        <v>0.3</v>
      </c>
      <c r="C154">
        <v>0.3</v>
      </c>
      <c r="D154" s="2" t="str">
        <f t="shared" si="4"/>
        <v>2014/11/28 10:00:00</v>
      </c>
      <c r="F154" s="2" t="str">
        <v>2014/10/31 10:00:00</v>
      </c>
      <c r="G154">
        <f t="shared" si="5"/>
        <v>41943</v>
      </c>
    </row>
    <row r="155" spans="1:7" x14ac:dyDescent="0.25">
      <c r="A155" s="1">
        <v>42011</v>
      </c>
      <c r="B155">
        <v>-0.1</v>
      </c>
      <c r="C155">
        <v>-0.2</v>
      </c>
      <c r="D155" s="2" t="str">
        <f t="shared" si="4"/>
        <v>2015/01/07 10:00:00</v>
      </c>
      <c r="F155" s="2" t="str">
        <v>2014/11/28 10:00:00</v>
      </c>
      <c r="G155">
        <f t="shared" si="5"/>
        <v>41971</v>
      </c>
    </row>
    <row r="156" spans="1:7" x14ac:dyDescent="0.25">
      <c r="A156" s="1">
        <v>42034</v>
      </c>
      <c r="B156">
        <v>-0.5</v>
      </c>
      <c r="C156">
        <v>-0.6</v>
      </c>
      <c r="D156" s="2" t="str">
        <f t="shared" si="4"/>
        <v>2015/01/30 10:00:00</v>
      </c>
      <c r="F156" s="2" t="str">
        <v>2015/01/07 10:00:00</v>
      </c>
      <c r="G156">
        <f t="shared" si="5"/>
        <v>42011</v>
      </c>
    </row>
    <row r="157" spans="1:7" x14ac:dyDescent="0.25">
      <c r="A157" s="1">
        <v>42065</v>
      </c>
      <c r="B157">
        <v>-0.4</v>
      </c>
      <c r="C157">
        <v>-0.3</v>
      </c>
      <c r="D157" s="2" t="str">
        <f t="shared" si="4"/>
        <v>2015/03/02 10:00:00</v>
      </c>
      <c r="F157" s="2" t="str">
        <v>2015/01/30 10:00:00</v>
      </c>
      <c r="G157">
        <f t="shared" si="5"/>
        <v>42034</v>
      </c>
    </row>
    <row r="158" spans="1:7" x14ac:dyDescent="0.25">
      <c r="A158" s="1">
        <v>42094</v>
      </c>
      <c r="B158">
        <v>-0.1</v>
      </c>
      <c r="C158">
        <v>-0.1</v>
      </c>
      <c r="D158" s="2" t="str">
        <f t="shared" si="4"/>
        <v>2015/03/31 09:00:00</v>
      </c>
      <c r="F158" s="2" t="str">
        <v>2015/03/02 10:00:00</v>
      </c>
      <c r="G158">
        <f t="shared" si="5"/>
        <v>42065</v>
      </c>
    </row>
    <row r="159" spans="1:7" x14ac:dyDescent="0.25">
      <c r="A159" s="1">
        <v>42124</v>
      </c>
      <c r="B159">
        <v>0</v>
      </c>
      <c r="C159">
        <v>0</v>
      </c>
      <c r="D159" s="2" t="str">
        <f t="shared" si="4"/>
        <v>2015/04/30 09:00:00</v>
      </c>
      <c r="F159" s="2" t="str">
        <v>2015/03/31 09:00:00</v>
      </c>
      <c r="G159">
        <f t="shared" si="5"/>
        <v>42094</v>
      </c>
    </row>
    <row r="160" spans="1:7" x14ac:dyDescent="0.25">
      <c r="A160" s="1">
        <v>42157</v>
      </c>
      <c r="B160">
        <v>0.2</v>
      </c>
      <c r="C160">
        <v>0.3</v>
      </c>
      <c r="D160" s="2" t="str">
        <f t="shared" si="4"/>
        <v>2015/06/02 09:00:00</v>
      </c>
      <c r="F160" s="2" t="str">
        <v>2015/04/30 09:00:00</v>
      </c>
      <c r="G160">
        <f t="shared" si="5"/>
        <v>42124</v>
      </c>
    </row>
    <row r="161" spans="1:7" x14ac:dyDescent="0.25">
      <c r="A161" s="1">
        <v>42185</v>
      </c>
      <c r="B161">
        <v>0.2</v>
      </c>
      <c r="C161">
        <v>0.2</v>
      </c>
      <c r="D161" s="2" t="str">
        <f t="shared" si="4"/>
        <v>2015/06/30 09:00:00</v>
      </c>
      <c r="F161" s="2" t="str">
        <v>2015/06/02 09:00:00</v>
      </c>
      <c r="G161">
        <f t="shared" si="5"/>
        <v>42157</v>
      </c>
    </row>
    <row r="162" spans="1:7" x14ac:dyDescent="0.25">
      <c r="A162" s="1">
        <v>42216</v>
      </c>
      <c r="B162">
        <v>0.2</v>
      </c>
      <c r="C162">
        <v>0.2</v>
      </c>
      <c r="D162" s="2" t="str">
        <f t="shared" si="4"/>
        <v>2015/07/31 09:00:00</v>
      </c>
      <c r="F162" s="2" t="str">
        <v>2015/06/30 09:00:00</v>
      </c>
      <c r="G162">
        <f t="shared" si="5"/>
        <v>42185</v>
      </c>
    </row>
    <row r="163" spans="1:7" x14ac:dyDescent="0.25">
      <c r="A163" s="1">
        <v>42247</v>
      </c>
      <c r="B163">
        <v>0.1</v>
      </c>
      <c r="C163">
        <v>0.2</v>
      </c>
      <c r="D163" s="2" t="str">
        <f t="shared" si="4"/>
        <v>2015/08/31 09:00:00</v>
      </c>
      <c r="F163" s="2" t="str">
        <v>2015/07/31 09:00:00</v>
      </c>
      <c r="G163">
        <f t="shared" si="5"/>
        <v>42216</v>
      </c>
    </row>
    <row r="164" spans="1:7" x14ac:dyDescent="0.25">
      <c r="A164" s="1">
        <v>42277</v>
      </c>
      <c r="B164">
        <v>0</v>
      </c>
      <c r="C164">
        <v>-0.1</v>
      </c>
      <c r="D164" s="2" t="str">
        <f t="shared" si="4"/>
        <v>2015/09/30 09:00:00</v>
      </c>
      <c r="F164" s="2" t="str">
        <v>2015/08/31 09:00:00</v>
      </c>
      <c r="G164">
        <f t="shared" si="5"/>
        <v>42247</v>
      </c>
    </row>
    <row r="165" spans="1:7" x14ac:dyDescent="0.25">
      <c r="A165" s="1">
        <v>42307</v>
      </c>
      <c r="B165">
        <v>0</v>
      </c>
      <c r="C165">
        <v>0</v>
      </c>
      <c r="D165" s="2" t="str">
        <f t="shared" si="4"/>
        <v>2015/10/30 10:00:00</v>
      </c>
      <c r="F165" s="2" t="str">
        <v>2015/09/30 09:00:00</v>
      </c>
      <c r="G165">
        <f t="shared" si="5"/>
        <v>42277</v>
      </c>
    </row>
    <row r="166" spans="1:7" x14ac:dyDescent="0.25">
      <c r="A166" s="1">
        <v>42340</v>
      </c>
      <c r="B166">
        <v>0.2</v>
      </c>
      <c r="C166">
        <v>0.1</v>
      </c>
      <c r="D166" s="2" t="str">
        <f t="shared" si="4"/>
        <v>2015/12/02 10:00:00</v>
      </c>
      <c r="F166" s="2" t="str">
        <v>2015/10/30 10:00:00</v>
      </c>
      <c r="G166">
        <f t="shared" si="5"/>
        <v>42307</v>
      </c>
    </row>
    <row r="167" spans="1:7" x14ac:dyDescent="0.25">
      <c r="A167" s="1">
        <v>42374</v>
      </c>
      <c r="B167">
        <v>0.3</v>
      </c>
      <c r="C167">
        <v>0.2</v>
      </c>
      <c r="D167" s="2" t="str">
        <f t="shared" si="4"/>
        <v>2016/01/05 10:00:00</v>
      </c>
      <c r="F167" s="2" t="str">
        <v>2015/12/02 10:00:00</v>
      </c>
      <c r="G167">
        <f t="shared" si="5"/>
        <v>42340</v>
      </c>
    </row>
    <row r="168" spans="1:7" x14ac:dyDescent="0.25">
      <c r="A168" s="1">
        <v>42398</v>
      </c>
      <c r="B168">
        <v>0.4</v>
      </c>
      <c r="C168">
        <v>0.4</v>
      </c>
      <c r="D168" s="2" t="str">
        <f t="shared" si="4"/>
        <v>2016/01/29 10:00:00</v>
      </c>
      <c r="F168" s="2" t="str">
        <v>2016/01/05 10:00:00</v>
      </c>
      <c r="G168">
        <f t="shared" si="5"/>
        <v>42374</v>
      </c>
    </row>
    <row r="169" spans="1:7" x14ac:dyDescent="0.25">
      <c r="A169" s="1">
        <v>42429</v>
      </c>
      <c r="B169">
        <v>0</v>
      </c>
      <c r="C169">
        <v>-0.2</v>
      </c>
      <c r="D169" s="2" t="str">
        <f t="shared" si="4"/>
        <v>2016/02/29 10:00:00</v>
      </c>
      <c r="F169" s="2" t="str">
        <v>2016/01/29 10:00:00</v>
      </c>
      <c r="G169">
        <f t="shared" si="5"/>
        <v>42398</v>
      </c>
    </row>
    <row r="170" spans="1:7" x14ac:dyDescent="0.25">
      <c r="A170" s="1">
        <v>42460</v>
      </c>
      <c r="B170">
        <v>-0.1</v>
      </c>
      <c r="C170">
        <v>-0.1</v>
      </c>
      <c r="D170" s="2" t="str">
        <f t="shared" si="4"/>
        <v>2016/03/31 09:00:00</v>
      </c>
      <c r="F170" s="2" t="str">
        <v>2016/02/29 10:00:00</v>
      </c>
      <c r="G170">
        <f t="shared" si="5"/>
        <v>42429</v>
      </c>
    </row>
    <row r="171" spans="1:7" x14ac:dyDescent="0.25">
      <c r="A171" s="1">
        <v>42489</v>
      </c>
      <c r="B171">
        <v>-0.1</v>
      </c>
      <c r="C171">
        <v>-0.2</v>
      </c>
      <c r="D171" s="2" t="str">
        <f t="shared" si="4"/>
        <v>2016/04/29 09:00:00</v>
      </c>
      <c r="F171" s="2" t="str">
        <v>2016/03/31 09:00:00</v>
      </c>
      <c r="G171">
        <f t="shared" si="5"/>
        <v>42460</v>
      </c>
    </row>
    <row r="172" spans="1:7" x14ac:dyDescent="0.25">
      <c r="A172" s="1">
        <v>42521</v>
      </c>
      <c r="B172">
        <v>-0.1</v>
      </c>
      <c r="C172">
        <v>-0.1</v>
      </c>
      <c r="D172" s="2" t="str">
        <f t="shared" si="4"/>
        <v>2016/05/31 09:00:00</v>
      </c>
      <c r="F172" s="2" t="str">
        <v>2016/04/29 09:00:00</v>
      </c>
      <c r="G172">
        <f t="shared" si="5"/>
        <v>42489</v>
      </c>
    </row>
    <row r="173" spans="1:7" x14ac:dyDescent="0.25">
      <c r="A173" s="1">
        <v>42551</v>
      </c>
      <c r="B173">
        <v>0</v>
      </c>
      <c r="C173">
        <v>0.1</v>
      </c>
      <c r="D173" s="2" t="str">
        <f t="shared" si="4"/>
        <v>2016/06/30 09:00:00</v>
      </c>
      <c r="F173" s="2" t="str">
        <v>2016/05/31 09:00:00</v>
      </c>
      <c r="G173">
        <f t="shared" si="5"/>
        <v>42521</v>
      </c>
    </row>
    <row r="174" spans="1:7" x14ac:dyDescent="0.25">
      <c r="A174" s="1">
        <v>42580</v>
      </c>
      <c r="B174">
        <v>0.1</v>
      </c>
      <c r="C174">
        <v>0.2</v>
      </c>
      <c r="D174" s="2" t="str">
        <f t="shared" si="4"/>
        <v>2016/07/29 09:00:00</v>
      </c>
      <c r="F174" s="2" t="str">
        <v>2016/06/30 09:00:00</v>
      </c>
      <c r="G174">
        <f t="shared" si="5"/>
        <v>42551</v>
      </c>
    </row>
    <row r="175" spans="1:7" x14ac:dyDescent="0.25">
      <c r="A175" s="1">
        <v>42613</v>
      </c>
      <c r="B175">
        <v>0.3</v>
      </c>
      <c r="C175">
        <v>0.2</v>
      </c>
      <c r="D175" s="2" t="str">
        <f t="shared" si="4"/>
        <v>2016/08/31 09:00:00</v>
      </c>
      <c r="F175" s="2" t="str">
        <v>2016/07/29 09:00:00</v>
      </c>
      <c r="G175">
        <f t="shared" si="5"/>
        <v>42580</v>
      </c>
    </row>
    <row r="176" spans="1:7" x14ac:dyDescent="0.25">
      <c r="A176" s="1">
        <v>42643</v>
      </c>
      <c r="B176">
        <v>0.4</v>
      </c>
      <c r="C176">
        <v>0.4</v>
      </c>
      <c r="D176" s="2" t="str">
        <f t="shared" si="4"/>
        <v>2016/09/30 09:00:00</v>
      </c>
      <c r="F176" s="2" t="str">
        <v>2016/08/31 09:00:00</v>
      </c>
      <c r="G176">
        <f t="shared" si="5"/>
        <v>42613</v>
      </c>
    </row>
    <row r="177" spans="1:7" x14ac:dyDescent="0.25">
      <c r="A177" s="1">
        <v>42674</v>
      </c>
      <c r="B177">
        <v>0.5</v>
      </c>
      <c r="C177">
        <v>0.5</v>
      </c>
      <c r="D177" s="2" t="str">
        <f t="shared" si="4"/>
        <v>2016/10/31 10:00:00</v>
      </c>
      <c r="F177" s="2" t="str">
        <v>2016/09/30 09:00:00</v>
      </c>
      <c r="G177">
        <f t="shared" si="5"/>
        <v>42643</v>
      </c>
    </row>
    <row r="178" spans="1:7" x14ac:dyDescent="0.25">
      <c r="A178" s="1">
        <v>42704</v>
      </c>
      <c r="B178">
        <v>0.6</v>
      </c>
      <c r="C178">
        <v>0.6</v>
      </c>
      <c r="D178" s="2" t="str">
        <f t="shared" si="4"/>
        <v>2016/11/30 10:00:00</v>
      </c>
      <c r="F178" s="2" t="str">
        <v>2016/10/31 10:00:00</v>
      </c>
      <c r="G178">
        <f t="shared" si="5"/>
        <v>42674</v>
      </c>
    </row>
    <row r="179" spans="1:7" x14ac:dyDescent="0.25">
      <c r="A179" s="1">
        <v>42739</v>
      </c>
      <c r="B179">
        <v>1</v>
      </c>
      <c r="C179">
        <v>1.1000000000000001</v>
      </c>
      <c r="D179" s="2" t="str">
        <f t="shared" si="4"/>
        <v>2017/01/04 10:00:00</v>
      </c>
      <c r="F179" s="2" t="str">
        <v>2016/11/30 10:00:00</v>
      </c>
      <c r="G179">
        <f t="shared" si="5"/>
        <v>42704</v>
      </c>
    </row>
    <row r="180" spans="1:7" x14ac:dyDescent="0.25">
      <c r="A180" s="1">
        <v>42766</v>
      </c>
      <c r="B180">
        <v>1.5</v>
      </c>
      <c r="C180">
        <v>1.8</v>
      </c>
      <c r="D180" s="2" t="str">
        <f t="shared" si="4"/>
        <v>2017/01/31 10:00:00</v>
      </c>
      <c r="F180" s="2" t="str">
        <v>2017/01/04 10:00:00</v>
      </c>
      <c r="G180">
        <f t="shared" si="5"/>
        <v>42739</v>
      </c>
    </row>
    <row r="181" spans="1:7" x14ac:dyDescent="0.25">
      <c r="A181" s="1">
        <v>42796</v>
      </c>
      <c r="B181">
        <v>2</v>
      </c>
      <c r="C181">
        <v>2</v>
      </c>
      <c r="D181" s="2" t="str">
        <f t="shared" si="4"/>
        <v>2017/03/02 10:00:00</v>
      </c>
      <c r="F181" s="2" t="str">
        <v>2017/01/31 10:00:00</v>
      </c>
      <c r="G181">
        <f t="shared" si="5"/>
        <v>42766</v>
      </c>
    </row>
    <row r="182" spans="1:7" x14ac:dyDescent="0.25">
      <c r="A182" s="1">
        <v>42825</v>
      </c>
      <c r="B182">
        <v>1.8</v>
      </c>
      <c r="C182">
        <v>1.5</v>
      </c>
      <c r="D182" s="2" t="str">
        <f t="shared" si="4"/>
        <v>2017/03/31 09:00:00</v>
      </c>
      <c r="F182" s="2" t="str">
        <v>2017/03/02 10:00:00</v>
      </c>
      <c r="G182">
        <f t="shared" si="5"/>
        <v>42796</v>
      </c>
    </row>
    <row r="183" spans="1:7" x14ac:dyDescent="0.25">
      <c r="A183" s="1">
        <v>42853</v>
      </c>
      <c r="B183">
        <v>1.8</v>
      </c>
      <c r="C183">
        <v>1.9</v>
      </c>
      <c r="D183" s="2" t="str">
        <f t="shared" si="4"/>
        <v>2017/04/28 09:00:00</v>
      </c>
      <c r="F183" s="2" t="str">
        <v>2017/03/31 09:00:00</v>
      </c>
      <c r="G183">
        <f t="shared" si="5"/>
        <v>42825</v>
      </c>
    </row>
    <row r="184" spans="1:7" x14ac:dyDescent="0.25">
      <c r="A184" s="1">
        <v>42886</v>
      </c>
      <c r="B184">
        <v>1.5</v>
      </c>
      <c r="C184">
        <v>1.4</v>
      </c>
      <c r="D184" s="2" t="str">
        <f t="shared" si="4"/>
        <v>2017/05/31 09:00:00</v>
      </c>
      <c r="F184" s="2" t="str">
        <v>2017/04/28 09:00:00</v>
      </c>
      <c r="G184">
        <f t="shared" si="5"/>
        <v>42853</v>
      </c>
    </row>
    <row r="185" spans="1:7" x14ac:dyDescent="0.25">
      <c r="A185" s="1">
        <v>42916</v>
      </c>
      <c r="B185">
        <v>1.2</v>
      </c>
      <c r="C185">
        <v>1.3</v>
      </c>
      <c r="D185" s="2" t="str">
        <f t="shared" si="4"/>
        <v>2017/06/30 09:00:00</v>
      </c>
      <c r="F185" s="2" t="str">
        <v>2017/05/31 09:00:00</v>
      </c>
      <c r="G185">
        <f t="shared" si="5"/>
        <v>42886</v>
      </c>
    </row>
    <row r="186" spans="1:7" x14ac:dyDescent="0.25">
      <c r="A186" s="1">
        <v>42947</v>
      </c>
      <c r="B186">
        <v>1.3</v>
      </c>
      <c r="C186">
        <v>1.3</v>
      </c>
      <c r="D186" s="2" t="str">
        <f t="shared" si="4"/>
        <v>2017/07/31 09:00:00</v>
      </c>
      <c r="F186" s="2" t="str">
        <v>2017/06/30 09:00:00</v>
      </c>
      <c r="G186">
        <f t="shared" si="5"/>
        <v>42916</v>
      </c>
    </row>
    <row r="187" spans="1:7" x14ac:dyDescent="0.25">
      <c r="A187" s="1">
        <v>42978</v>
      </c>
      <c r="B187">
        <v>1.4</v>
      </c>
      <c r="C187">
        <v>1.5</v>
      </c>
      <c r="D187" s="2" t="str">
        <f t="shared" si="4"/>
        <v>2017/08/31 09:00:00</v>
      </c>
      <c r="F187" s="2" t="str">
        <v>2017/07/31 09:00:00</v>
      </c>
      <c r="G187">
        <f t="shared" si="5"/>
        <v>42947</v>
      </c>
    </row>
    <row r="188" spans="1:7" x14ac:dyDescent="0.25">
      <c r="A188" s="1">
        <v>43007</v>
      </c>
      <c r="B188">
        <v>1.6</v>
      </c>
      <c r="C188">
        <v>1.5</v>
      </c>
      <c r="D188" s="2" t="str">
        <f t="shared" si="4"/>
        <v>2017/09/29 09:00:00</v>
      </c>
      <c r="F188" s="2" t="str">
        <v>2017/08/31 09:00:00</v>
      </c>
      <c r="G188">
        <f t="shared" si="5"/>
        <v>42978</v>
      </c>
    </row>
    <row r="189" spans="1:7" x14ac:dyDescent="0.25">
      <c r="A189" s="1">
        <v>43039</v>
      </c>
      <c r="B189">
        <v>1.5</v>
      </c>
      <c r="C189">
        <v>1.4</v>
      </c>
      <c r="D189" s="2" t="str">
        <f t="shared" si="4"/>
        <v>2017/10/31 10:00:00</v>
      </c>
      <c r="F189" s="2" t="str">
        <v>2017/09/29 09:00:00</v>
      </c>
      <c r="G189">
        <f t="shared" si="5"/>
        <v>43007</v>
      </c>
    </row>
    <row r="190" spans="1:7" x14ac:dyDescent="0.25">
      <c r="A190" s="1">
        <v>43069</v>
      </c>
      <c r="B190">
        <v>1.6</v>
      </c>
      <c r="C190">
        <v>1.5</v>
      </c>
      <c r="D190" s="2" t="str">
        <f t="shared" si="4"/>
        <v>2017/11/30 10:00:00</v>
      </c>
      <c r="F190" s="2" t="str">
        <v>2017/10/31 10:00:00</v>
      </c>
      <c r="G190">
        <f t="shared" si="5"/>
        <v>43039</v>
      </c>
    </row>
    <row r="191" spans="1:7" x14ac:dyDescent="0.25">
      <c r="A191" s="1">
        <v>43105</v>
      </c>
      <c r="B191">
        <v>1.4</v>
      </c>
      <c r="C191">
        <v>1.4</v>
      </c>
      <c r="D191" s="2" t="str">
        <f t="shared" si="4"/>
        <v>2018/01/05 10:00:00</v>
      </c>
      <c r="F191" s="2" t="str">
        <v>2017/11/30 10:00:00</v>
      </c>
      <c r="G191">
        <f t="shared" si="5"/>
        <v>43069</v>
      </c>
    </row>
    <row r="192" spans="1:7" x14ac:dyDescent="0.25">
      <c r="A192" s="1">
        <v>43131</v>
      </c>
      <c r="B192">
        <v>1.2</v>
      </c>
      <c r="C192">
        <v>1.3</v>
      </c>
      <c r="D192" s="2" t="str">
        <f t="shared" si="4"/>
        <v>2018/01/31 10:00:00</v>
      </c>
      <c r="F192" s="2" t="str">
        <v>2018/01/05 10:00:00</v>
      </c>
      <c r="G192">
        <f t="shared" si="5"/>
        <v>43105</v>
      </c>
    </row>
    <row r="193" spans="1:7" x14ac:dyDescent="0.25">
      <c r="A193" s="1">
        <v>43159</v>
      </c>
      <c r="B193">
        <v>1.2</v>
      </c>
      <c r="C193">
        <v>1.2</v>
      </c>
      <c r="D193" s="2" t="str">
        <f t="shared" si="4"/>
        <v>2018/02/28 10:00:00</v>
      </c>
      <c r="F193" s="2" t="str">
        <v>2018/01/31 10:00:00</v>
      </c>
      <c r="G193">
        <f t="shared" si="5"/>
        <v>43131</v>
      </c>
    </row>
    <row r="194" spans="1:7" x14ac:dyDescent="0.25">
      <c r="A194" s="1">
        <v>43194</v>
      </c>
      <c r="B194">
        <v>1.4</v>
      </c>
      <c r="C194">
        <v>1.4</v>
      </c>
      <c r="D194" s="2" t="str">
        <f t="shared" ref="D194:D257" si="6">IFERROR(_xlfn.XLOOKUP(A194,$G:$G,$F:$F,""),"")</f>
        <v>2018/04/04 09:00:00</v>
      </c>
      <c r="F194" s="2" t="str">
        <v>2018/02/28 10:00:00</v>
      </c>
      <c r="G194">
        <f t="shared" ref="G194:G257" si="7">IFERROR(INT(F194),"")</f>
        <v>43159</v>
      </c>
    </row>
    <row r="195" spans="1:7" x14ac:dyDescent="0.25">
      <c r="A195" s="1">
        <v>43223</v>
      </c>
      <c r="B195">
        <v>1.3</v>
      </c>
      <c r="C195">
        <v>1.2</v>
      </c>
      <c r="D195" s="2" t="str">
        <f t="shared" si="6"/>
        <v>2018/05/03 09:00:00</v>
      </c>
      <c r="F195" s="2" t="str">
        <v>2018/04/04 09:00:00</v>
      </c>
      <c r="G195">
        <f t="shared" si="7"/>
        <v>43194</v>
      </c>
    </row>
    <row r="196" spans="1:7" x14ac:dyDescent="0.25">
      <c r="A196" s="1">
        <v>43251</v>
      </c>
      <c r="B196">
        <v>1.6</v>
      </c>
      <c r="C196">
        <v>1.9</v>
      </c>
      <c r="D196" s="2" t="str">
        <f t="shared" si="6"/>
        <v>2018/05/31 09:00:00</v>
      </c>
      <c r="F196" s="2" t="str">
        <v>2018/05/03 09:00:00</v>
      </c>
      <c r="G196">
        <f t="shared" si="7"/>
        <v>43223</v>
      </c>
    </row>
    <row r="197" spans="1:7" x14ac:dyDescent="0.25">
      <c r="A197" s="1">
        <v>43280</v>
      </c>
      <c r="B197">
        <v>2</v>
      </c>
      <c r="C197">
        <v>2</v>
      </c>
      <c r="D197" s="2" t="str">
        <f t="shared" si="6"/>
        <v>2018/06/29 09:00:00</v>
      </c>
      <c r="F197" s="2" t="str">
        <v>2018/05/31 09:00:00</v>
      </c>
      <c r="G197">
        <f t="shared" si="7"/>
        <v>43251</v>
      </c>
    </row>
    <row r="198" spans="1:7" x14ac:dyDescent="0.25">
      <c r="A198" s="1">
        <v>43312</v>
      </c>
      <c r="B198">
        <v>2</v>
      </c>
      <c r="C198">
        <v>2.1</v>
      </c>
      <c r="D198" s="2" t="str">
        <f t="shared" si="6"/>
        <v>2018/07/31 09:00:00</v>
      </c>
      <c r="F198" s="2" t="str">
        <v>2018/06/29 09:00:00</v>
      </c>
      <c r="G198">
        <f t="shared" si="7"/>
        <v>43280</v>
      </c>
    </row>
    <row r="199" spans="1:7" x14ac:dyDescent="0.25">
      <c r="A199" s="1">
        <v>43343</v>
      </c>
      <c r="B199">
        <v>2.1</v>
      </c>
      <c r="C199">
        <v>2</v>
      </c>
      <c r="D199" s="2" t="str">
        <f t="shared" si="6"/>
        <v>2018/08/31 09:00:00</v>
      </c>
      <c r="F199" s="2" t="str">
        <v>2018/07/31 09:00:00</v>
      </c>
      <c r="G199">
        <f t="shared" si="7"/>
        <v>43312</v>
      </c>
    </row>
    <row r="200" spans="1:7" x14ac:dyDescent="0.25">
      <c r="A200" s="1">
        <v>43371</v>
      </c>
      <c r="B200">
        <v>2.1</v>
      </c>
      <c r="C200">
        <v>2.1</v>
      </c>
      <c r="D200" s="2" t="str">
        <f t="shared" si="6"/>
        <v>2018/09/28 09:00:00</v>
      </c>
      <c r="F200" s="2" t="str">
        <v>2018/08/31 09:00:00</v>
      </c>
      <c r="G200">
        <f t="shared" si="7"/>
        <v>43343</v>
      </c>
    </row>
    <row r="201" spans="1:7" x14ac:dyDescent="0.25">
      <c r="A201" s="1">
        <v>43404</v>
      </c>
      <c r="B201">
        <v>2.2000000000000002</v>
      </c>
      <c r="C201">
        <v>2.2000000000000002</v>
      </c>
      <c r="D201" s="2" t="str">
        <f t="shared" si="6"/>
        <v>2018/10/31 10:00:00</v>
      </c>
      <c r="F201" s="2" t="str">
        <v>2018/09/28 09:00:00</v>
      </c>
      <c r="G201">
        <f t="shared" si="7"/>
        <v>43371</v>
      </c>
    </row>
    <row r="202" spans="1:7" x14ac:dyDescent="0.25">
      <c r="A202" s="1">
        <v>43434</v>
      </c>
      <c r="B202">
        <v>2</v>
      </c>
      <c r="C202">
        <v>2</v>
      </c>
      <c r="D202" s="2" t="str">
        <f t="shared" si="6"/>
        <v>2018/11/30 10:00:00</v>
      </c>
      <c r="F202" s="2" t="str">
        <v>2018/10/31 10:00:00</v>
      </c>
      <c r="G202">
        <f t="shared" si="7"/>
        <v>43404</v>
      </c>
    </row>
    <row r="203" spans="1:7" x14ac:dyDescent="0.25">
      <c r="A203" s="1">
        <v>43469</v>
      </c>
      <c r="B203">
        <v>1.7</v>
      </c>
      <c r="C203">
        <v>1.6</v>
      </c>
      <c r="D203" s="2" t="str">
        <f t="shared" si="6"/>
        <v>2019/01/04 10:00:00</v>
      </c>
      <c r="F203" s="2" t="str">
        <v>2018/11/30 10:00:00</v>
      </c>
      <c r="G203">
        <f t="shared" si="7"/>
        <v>43434</v>
      </c>
    </row>
    <row r="204" spans="1:7" x14ac:dyDescent="0.25">
      <c r="A204" s="1">
        <v>43497</v>
      </c>
      <c r="B204">
        <v>1.4</v>
      </c>
      <c r="C204">
        <v>1.4</v>
      </c>
      <c r="D204" s="2" t="str">
        <f t="shared" si="6"/>
        <v>2019/02/01 10:00:00</v>
      </c>
      <c r="F204" s="2" t="str">
        <v>2019/01/04 10:00:00</v>
      </c>
      <c r="G204">
        <f t="shared" si="7"/>
        <v>43469</v>
      </c>
    </row>
    <row r="205" spans="1:7" x14ac:dyDescent="0.25">
      <c r="A205" s="1">
        <v>43525</v>
      </c>
      <c r="B205">
        <v>1.5</v>
      </c>
      <c r="C205">
        <v>1.5</v>
      </c>
      <c r="D205" s="2" t="str">
        <f t="shared" si="6"/>
        <v>2019/03/01 10:00:00</v>
      </c>
      <c r="F205" s="2" t="str">
        <v>2019/02/01 10:00:00</v>
      </c>
      <c r="G205">
        <f t="shared" si="7"/>
        <v>43497</v>
      </c>
    </row>
    <row r="206" spans="1:7" x14ac:dyDescent="0.25">
      <c r="A206" s="1">
        <v>43556</v>
      </c>
      <c r="B206">
        <v>1.5</v>
      </c>
      <c r="C206">
        <v>1.4</v>
      </c>
      <c r="D206" s="2" t="str">
        <f t="shared" si="6"/>
        <v>2019/04/01 09:00:00</v>
      </c>
      <c r="F206" s="2" t="str">
        <v>2019/03/01 10:00:00</v>
      </c>
      <c r="G206">
        <f t="shared" si="7"/>
        <v>43525</v>
      </c>
    </row>
    <row r="207" spans="1:7" x14ac:dyDescent="0.25">
      <c r="A207" s="1">
        <v>43588</v>
      </c>
      <c r="B207">
        <v>1.6</v>
      </c>
      <c r="C207">
        <v>1.7</v>
      </c>
      <c r="D207" s="2" t="str">
        <f t="shared" si="6"/>
        <v>2019/05/03 09:00:00</v>
      </c>
      <c r="F207" s="2" t="str">
        <v>2019/04/01 09:00:00</v>
      </c>
      <c r="G207">
        <f t="shared" si="7"/>
        <v>43556</v>
      </c>
    </row>
    <row r="208" spans="1:7" x14ac:dyDescent="0.25">
      <c r="A208" s="1">
        <v>43620</v>
      </c>
      <c r="B208">
        <v>1.3</v>
      </c>
      <c r="C208">
        <v>1.2</v>
      </c>
      <c r="D208" s="2" t="str">
        <f t="shared" si="6"/>
        <v>2019/06/04 09:00:00</v>
      </c>
      <c r="F208" s="2" t="str">
        <v>2019/05/03 09:00:00</v>
      </c>
      <c r="G208">
        <f t="shared" si="7"/>
        <v>43588</v>
      </c>
    </row>
    <row r="209" spans="1:7" x14ac:dyDescent="0.25">
      <c r="A209" s="1">
        <v>43644</v>
      </c>
      <c r="B209">
        <v>1.2</v>
      </c>
      <c r="C209">
        <v>1.2</v>
      </c>
      <c r="D209" s="2" t="str">
        <f t="shared" si="6"/>
        <v>2019/06/28 09:00:00</v>
      </c>
      <c r="F209" s="2" t="str">
        <v>2019/06/04 09:00:00</v>
      </c>
      <c r="G209">
        <f t="shared" si="7"/>
        <v>43620</v>
      </c>
    </row>
    <row r="210" spans="1:7" x14ac:dyDescent="0.25">
      <c r="A210" s="1">
        <v>43677</v>
      </c>
      <c r="B210">
        <v>1.1000000000000001</v>
      </c>
      <c r="C210">
        <v>1.1000000000000001</v>
      </c>
      <c r="D210" s="2" t="str">
        <f t="shared" si="6"/>
        <v>2019/07/31 09:00:00</v>
      </c>
      <c r="F210" s="2" t="str">
        <v>2019/06/28 09:00:00</v>
      </c>
      <c r="G210">
        <f t="shared" si="7"/>
        <v>43644</v>
      </c>
    </row>
    <row r="211" spans="1:7" x14ac:dyDescent="0.25">
      <c r="A211" s="1">
        <v>43707</v>
      </c>
      <c r="B211">
        <v>1</v>
      </c>
      <c r="C211">
        <v>1</v>
      </c>
      <c r="D211" s="2" t="str">
        <f t="shared" si="6"/>
        <v>2019/08/30 09:00:00</v>
      </c>
      <c r="F211" s="2" t="str">
        <v>2019/07/31 09:00:00</v>
      </c>
      <c r="G211">
        <f t="shared" si="7"/>
        <v>43677</v>
      </c>
    </row>
    <row r="212" spans="1:7" x14ac:dyDescent="0.25">
      <c r="A212" s="1">
        <v>43739</v>
      </c>
      <c r="B212">
        <v>1</v>
      </c>
      <c r="C212">
        <v>0.9</v>
      </c>
      <c r="D212" s="2" t="str">
        <f t="shared" si="6"/>
        <v>2019/10/01 09:00:00</v>
      </c>
      <c r="F212" s="2" t="str">
        <v>2019/08/30 09:00:00</v>
      </c>
      <c r="G212">
        <f t="shared" si="7"/>
        <v>43707</v>
      </c>
    </row>
    <row r="213" spans="1:7" x14ac:dyDescent="0.25">
      <c r="A213" s="1">
        <v>43769</v>
      </c>
      <c r="B213">
        <v>0.7</v>
      </c>
      <c r="C213">
        <v>0.7</v>
      </c>
      <c r="D213" s="2" t="str">
        <f t="shared" si="6"/>
        <v>2019/10/31 10:00:00</v>
      </c>
      <c r="F213" s="2" t="str">
        <v>2019/10/01 09:00:00</v>
      </c>
      <c r="G213">
        <f t="shared" si="7"/>
        <v>43739</v>
      </c>
    </row>
    <row r="214" spans="1:7" x14ac:dyDescent="0.25">
      <c r="A214" s="1">
        <v>43798</v>
      </c>
      <c r="B214">
        <v>0.9</v>
      </c>
      <c r="C214">
        <v>1</v>
      </c>
      <c r="D214" s="2" t="str">
        <f t="shared" si="6"/>
        <v>2019/11/29 10:00:00</v>
      </c>
      <c r="F214" s="2" t="str">
        <v>2019/10/31 10:00:00</v>
      </c>
      <c r="G214">
        <f t="shared" si="7"/>
        <v>43769</v>
      </c>
    </row>
    <row r="215" spans="1:7" x14ac:dyDescent="0.25">
      <c r="A215" s="1">
        <v>43837</v>
      </c>
      <c r="B215">
        <v>1.3</v>
      </c>
      <c r="C215">
        <v>1.3</v>
      </c>
      <c r="D215" s="2" t="str">
        <f t="shared" si="6"/>
        <v>2020/01/07 10:00:00</v>
      </c>
      <c r="F215" s="2" t="str">
        <v>2019/11/29 10:00:00</v>
      </c>
      <c r="G215">
        <f t="shared" si="7"/>
        <v>43798</v>
      </c>
    </row>
    <row r="216" spans="1:7" x14ac:dyDescent="0.25">
      <c r="A216" s="1">
        <v>43861</v>
      </c>
      <c r="B216">
        <v>1.4</v>
      </c>
      <c r="C216">
        <v>1.4</v>
      </c>
      <c r="D216" s="2" t="str">
        <f t="shared" si="6"/>
        <v>2020/01/31 10:00:00</v>
      </c>
      <c r="F216" s="2" t="str">
        <v>2020/01/07 10:00:00</v>
      </c>
      <c r="G216">
        <f t="shared" si="7"/>
        <v>43837</v>
      </c>
    </row>
    <row r="217" spans="1:7" x14ac:dyDescent="0.25">
      <c r="A217" s="1">
        <v>43893</v>
      </c>
      <c r="B217">
        <v>1.2</v>
      </c>
      <c r="C217">
        <v>1.2</v>
      </c>
      <c r="D217" s="2" t="str">
        <f t="shared" si="6"/>
        <v>2020/03/03 10:00:00</v>
      </c>
      <c r="F217" s="2" t="str">
        <v>2020/01/31 10:00:00</v>
      </c>
      <c r="G217">
        <f t="shared" si="7"/>
        <v>43861</v>
      </c>
    </row>
    <row r="218" spans="1:7" x14ac:dyDescent="0.25">
      <c r="A218" s="1">
        <v>43921</v>
      </c>
      <c r="B218">
        <v>0.8</v>
      </c>
      <c r="C218">
        <v>0.7</v>
      </c>
      <c r="D218" s="2" t="str">
        <f t="shared" si="6"/>
        <v>2020/03/31 09:00:00</v>
      </c>
      <c r="F218" s="2" t="str">
        <v>2020/03/03 10:00:00</v>
      </c>
      <c r="G218">
        <f t="shared" si="7"/>
        <v>43893</v>
      </c>
    </row>
    <row r="219" spans="1:7" x14ac:dyDescent="0.25">
      <c r="A219" s="1">
        <v>43951</v>
      </c>
      <c r="B219">
        <v>0.1</v>
      </c>
      <c r="C219">
        <v>0.4</v>
      </c>
      <c r="D219" s="2" t="str">
        <f t="shared" si="6"/>
        <v>2020/04/30 09:00:00</v>
      </c>
      <c r="F219" s="2" t="str">
        <v>2020/03/31 09:00:00</v>
      </c>
      <c r="G219">
        <f t="shared" si="7"/>
        <v>43921</v>
      </c>
    </row>
    <row r="220" spans="1:7" x14ac:dyDescent="0.25">
      <c r="A220" s="1">
        <v>43980</v>
      </c>
      <c r="B220">
        <v>0.1</v>
      </c>
      <c r="C220">
        <v>0.1</v>
      </c>
      <c r="D220" s="2" t="str">
        <f t="shared" si="6"/>
        <v>2020/05/29 09:00:00</v>
      </c>
      <c r="F220" s="2" t="str">
        <v>2020/04/30 09:00:00</v>
      </c>
      <c r="G220">
        <f t="shared" si="7"/>
        <v>43951</v>
      </c>
    </row>
    <row r="221" spans="1:7" x14ac:dyDescent="0.25">
      <c r="A221" s="1">
        <v>44012</v>
      </c>
      <c r="B221">
        <v>0.2</v>
      </c>
      <c r="C221">
        <v>0.3</v>
      </c>
      <c r="D221" s="2" t="str">
        <f t="shared" si="6"/>
        <v>2020/06/30 09:00:00</v>
      </c>
      <c r="F221" s="2" t="str">
        <v>2020/05/29 09:00:00</v>
      </c>
      <c r="G221">
        <f t="shared" si="7"/>
        <v>43980</v>
      </c>
    </row>
    <row r="222" spans="1:7" x14ac:dyDescent="0.25">
      <c r="A222" s="1">
        <v>44043</v>
      </c>
      <c r="B222">
        <v>0.2</v>
      </c>
      <c r="C222">
        <v>0.4</v>
      </c>
      <c r="D222" s="2" t="str">
        <f t="shared" si="6"/>
        <v>2020/07/31 09:00:00</v>
      </c>
      <c r="F222" s="2" t="str">
        <v>2020/06/30 09:00:00</v>
      </c>
      <c r="G222">
        <f t="shared" si="7"/>
        <v>44012</v>
      </c>
    </row>
    <row r="223" spans="1:7" x14ac:dyDescent="0.25">
      <c r="A223" s="1">
        <v>44075</v>
      </c>
      <c r="B223">
        <v>0.2</v>
      </c>
      <c r="C223">
        <v>-0.2</v>
      </c>
      <c r="D223" s="2" t="str">
        <f t="shared" si="6"/>
        <v>2020/09/01 09:00:00</v>
      </c>
      <c r="F223" s="2" t="str">
        <v>2020/07/31 09:00:00</v>
      </c>
      <c r="G223">
        <f t="shared" si="7"/>
        <v>44043</v>
      </c>
    </row>
    <row r="224" spans="1:7" x14ac:dyDescent="0.25">
      <c r="A224" s="1">
        <v>44106</v>
      </c>
      <c r="B224">
        <v>-0.2</v>
      </c>
      <c r="C224">
        <v>-0.3</v>
      </c>
      <c r="D224" s="2" t="str">
        <f t="shared" si="6"/>
        <v>2020/10/02 09:00:00</v>
      </c>
      <c r="F224" s="2" t="str">
        <v>2020/09/01 09:00:00</v>
      </c>
      <c r="G224">
        <f t="shared" si="7"/>
        <v>44075</v>
      </c>
    </row>
    <row r="225" spans="1:7" x14ac:dyDescent="0.25">
      <c r="A225" s="1">
        <v>44134</v>
      </c>
      <c r="B225">
        <v>-0.3</v>
      </c>
      <c r="C225">
        <v>-0.3</v>
      </c>
      <c r="D225" s="2" t="str">
        <f t="shared" si="6"/>
        <v>2020/10/30 10:00:00</v>
      </c>
      <c r="F225" s="2" t="str">
        <v>2020/10/02 09:00:00</v>
      </c>
      <c r="G225">
        <f t="shared" si="7"/>
        <v>44106</v>
      </c>
    </row>
    <row r="226" spans="1:7" x14ac:dyDescent="0.25">
      <c r="A226" s="1">
        <v>44166</v>
      </c>
      <c r="B226">
        <v>-0.2</v>
      </c>
      <c r="C226">
        <v>-0.3</v>
      </c>
      <c r="D226" s="2" t="str">
        <f t="shared" si="6"/>
        <v>2020/12/01 10:00:00</v>
      </c>
      <c r="F226" s="2" t="str">
        <v>2020/10/30 10:00:00</v>
      </c>
      <c r="G226">
        <f t="shared" si="7"/>
        <v>44134</v>
      </c>
    </row>
    <row r="227" spans="1:7" x14ac:dyDescent="0.25">
      <c r="A227" s="1">
        <v>44203</v>
      </c>
      <c r="B227">
        <v>-0.3</v>
      </c>
      <c r="C227">
        <v>-0.3</v>
      </c>
      <c r="D227" s="2" t="str">
        <f t="shared" si="6"/>
        <v>2021/01/07 10:00:00</v>
      </c>
      <c r="F227" s="2" t="str">
        <v>2020/12/01 10:00:00</v>
      </c>
      <c r="G227">
        <f t="shared" si="7"/>
        <v>44166</v>
      </c>
    </row>
    <row r="228" spans="1:7" x14ac:dyDescent="0.25">
      <c r="A228" s="1">
        <v>44230</v>
      </c>
      <c r="B228">
        <v>0.6</v>
      </c>
      <c r="C228">
        <v>0.9</v>
      </c>
      <c r="D228" s="2" t="str">
        <f t="shared" si="6"/>
        <v>2021/02/03 10:00:00</v>
      </c>
      <c r="F228" s="2" t="str">
        <v>2021/01/07 10:00:00</v>
      </c>
      <c r="G228">
        <f t="shared" si="7"/>
        <v>44203</v>
      </c>
    </row>
    <row r="229" spans="1:7" x14ac:dyDescent="0.25">
      <c r="A229" s="1">
        <v>44257</v>
      </c>
      <c r="B229">
        <v>0.9</v>
      </c>
      <c r="C229">
        <v>0.9</v>
      </c>
      <c r="D229" s="2" t="str">
        <f t="shared" si="6"/>
        <v>2021/03/02 10:00:00</v>
      </c>
      <c r="F229" s="2" t="str">
        <v>2021/02/03 10:00:00</v>
      </c>
      <c r="G229">
        <f t="shared" si="7"/>
        <v>44230</v>
      </c>
    </row>
    <row r="230" spans="1:7" x14ac:dyDescent="0.25">
      <c r="A230" s="1">
        <v>44286</v>
      </c>
      <c r="B230">
        <v>1.4</v>
      </c>
      <c r="C230">
        <v>1.3</v>
      </c>
      <c r="D230" s="2" t="str">
        <f t="shared" si="6"/>
        <v>2021/03/31 09:00:00</v>
      </c>
      <c r="F230" s="2" t="str">
        <v>2021/03/02 10:00:00</v>
      </c>
      <c r="G230">
        <f t="shared" si="7"/>
        <v>44257</v>
      </c>
    </row>
    <row r="231" spans="1:7" x14ac:dyDescent="0.25">
      <c r="A231" s="1">
        <v>44316</v>
      </c>
      <c r="B231">
        <v>1.6</v>
      </c>
      <c r="C231">
        <v>1.6</v>
      </c>
      <c r="D231" s="2" t="str">
        <f t="shared" si="6"/>
        <v>2021/04/30 09:00:00</v>
      </c>
      <c r="F231" s="2" t="str">
        <v>2021/03/31 09:00:00</v>
      </c>
      <c r="G231">
        <f t="shared" si="7"/>
        <v>44286</v>
      </c>
    </row>
    <row r="232" spans="1:7" x14ac:dyDescent="0.25">
      <c r="A232" s="1">
        <v>44348</v>
      </c>
      <c r="B232">
        <v>1.9</v>
      </c>
      <c r="C232">
        <v>2</v>
      </c>
      <c r="D232" s="2" t="str">
        <f t="shared" si="6"/>
        <v>2021/06/01 09:00:00</v>
      </c>
      <c r="F232" s="2" t="str">
        <v>2021/04/30 09:00:00</v>
      </c>
      <c r="G232">
        <f t="shared" si="7"/>
        <v>44316</v>
      </c>
    </row>
    <row r="233" spans="1:7" x14ac:dyDescent="0.25">
      <c r="A233" s="1">
        <v>44377</v>
      </c>
      <c r="B233">
        <v>1.9</v>
      </c>
      <c r="C233">
        <v>1.9</v>
      </c>
      <c r="D233" s="2" t="str">
        <f t="shared" si="6"/>
        <v>2021/06/30 09:00:00</v>
      </c>
      <c r="F233" s="2" t="str">
        <v>2021/06/01 09:00:00</v>
      </c>
      <c r="G233">
        <f t="shared" si="7"/>
        <v>44348</v>
      </c>
    </row>
    <row r="234" spans="1:7" x14ac:dyDescent="0.25">
      <c r="A234" s="1">
        <v>44407</v>
      </c>
      <c r="B234">
        <v>2</v>
      </c>
      <c r="C234">
        <v>2.2000000000000002</v>
      </c>
      <c r="D234" s="2" t="str">
        <f t="shared" si="6"/>
        <v>2021/07/30 09:00:00</v>
      </c>
      <c r="F234" s="2" t="str">
        <v>2021/06/30 09:00:00</v>
      </c>
      <c r="G234">
        <f t="shared" si="7"/>
        <v>44377</v>
      </c>
    </row>
    <row r="235" spans="1:7" x14ac:dyDescent="0.25">
      <c r="A235" s="1">
        <v>44439</v>
      </c>
      <c r="B235">
        <v>2.7</v>
      </c>
      <c r="C235">
        <v>3</v>
      </c>
      <c r="D235" s="2" t="str">
        <f t="shared" si="6"/>
        <v>2021/08/31 09:00:00</v>
      </c>
      <c r="F235" s="2" t="str">
        <v>2021/07/30 09:00:00</v>
      </c>
      <c r="G235">
        <f t="shared" si="7"/>
        <v>44407</v>
      </c>
    </row>
    <row r="236" spans="1:7" x14ac:dyDescent="0.25">
      <c r="A236" s="1">
        <v>44470</v>
      </c>
      <c r="B236">
        <v>3.3</v>
      </c>
      <c r="C236">
        <v>3.4</v>
      </c>
      <c r="D236" s="2" t="str">
        <f t="shared" si="6"/>
        <v>2021/10/01 09:00:00</v>
      </c>
      <c r="F236" s="2" t="str">
        <v>2021/08/31 09:00:00</v>
      </c>
      <c r="G236">
        <f t="shared" si="7"/>
        <v>44439</v>
      </c>
    </row>
    <row r="237" spans="1:7" x14ac:dyDescent="0.25">
      <c r="A237" s="1">
        <v>44498</v>
      </c>
      <c r="B237">
        <v>3.7</v>
      </c>
      <c r="C237">
        <v>4.0999999999999996</v>
      </c>
      <c r="D237" s="2" t="str">
        <f t="shared" si="6"/>
        <v>2021/10/29 09:00:00</v>
      </c>
      <c r="F237" s="2" t="str">
        <v>2021/10/01 09:00:00</v>
      </c>
      <c r="G237">
        <f t="shared" si="7"/>
        <v>44470</v>
      </c>
    </row>
    <row r="238" spans="1:7" x14ac:dyDescent="0.25">
      <c r="A238" s="1">
        <v>44530</v>
      </c>
      <c r="B238">
        <v>4.5</v>
      </c>
      <c r="C238">
        <v>4.9000000000000004</v>
      </c>
      <c r="D238" s="2" t="str">
        <f t="shared" si="6"/>
        <v>2021/11/30 10:00:00</v>
      </c>
      <c r="F238" s="2" t="str">
        <v>2021/10/29 09:00:00</v>
      </c>
      <c r="G238">
        <f t="shared" si="7"/>
        <v>44498</v>
      </c>
    </row>
    <row r="239" spans="1:7" x14ac:dyDescent="0.25">
      <c r="A239" s="1">
        <v>44568</v>
      </c>
      <c r="B239">
        <v>4.8</v>
      </c>
      <c r="C239">
        <v>5</v>
      </c>
      <c r="D239" s="2" t="str">
        <f t="shared" si="6"/>
        <v>2022/01/07 10:00:00</v>
      </c>
      <c r="F239" s="2" t="str">
        <v>2021/11/30 10:00:00</v>
      </c>
      <c r="G239">
        <f t="shared" si="7"/>
        <v>44530</v>
      </c>
    </row>
    <row r="240" spans="1:7" x14ac:dyDescent="0.25">
      <c r="A240" s="1">
        <v>44594</v>
      </c>
      <c r="B240">
        <v>4.4000000000000004</v>
      </c>
      <c r="C240">
        <v>5.0999999999999996</v>
      </c>
      <c r="D240" s="2" t="str">
        <f t="shared" si="6"/>
        <v>2022/02/02 10:00:00</v>
      </c>
      <c r="F240" s="2" t="str">
        <v>2022/01/07 10:00:00</v>
      </c>
      <c r="G240">
        <f t="shared" si="7"/>
        <v>44568</v>
      </c>
    </row>
    <row r="241" spans="1:7" x14ac:dyDescent="0.25">
      <c r="A241" s="1">
        <v>44622</v>
      </c>
      <c r="B241">
        <v>5.6</v>
      </c>
      <c r="C241">
        <v>5.8</v>
      </c>
      <c r="D241" s="2" t="str">
        <f t="shared" si="6"/>
        <v>2022/03/02 10:00:00</v>
      </c>
      <c r="F241" s="2" t="str">
        <v>2022/02/02 10:00:00</v>
      </c>
      <c r="G241">
        <f t="shared" si="7"/>
        <v>44594</v>
      </c>
    </row>
    <row r="242" spans="1:7" x14ac:dyDescent="0.25">
      <c r="A242" s="1">
        <v>44652</v>
      </c>
      <c r="B242">
        <v>6.7</v>
      </c>
      <c r="C242">
        <v>7.5</v>
      </c>
      <c r="D242" s="2" t="str">
        <f t="shared" si="6"/>
        <v>2022/04/01 09:00:00</v>
      </c>
      <c r="F242" s="2" t="str">
        <v>2022/03/02 10:00:00</v>
      </c>
      <c r="G242">
        <f t="shared" si="7"/>
        <v>44622</v>
      </c>
    </row>
    <row r="243" spans="1:7" x14ac:dyDescent="0.25">
      <c r="A243" s="1">
        <v>44680</v>
      </c>
      <c r="B243">
        <v>7.5</v>
      </c>
      <c r="C243">
        <v>7.5</v>
      </c>
      <c r="D243" s="2" t="str">
        <f t="shared" si="6"/>
        <v>2022/04/29 09:00:00</v>
      </c>
      <c r="F243" s="2" t="str">
        <v>2022/04/01 09:00:00</v>
      </c>
      <c r="G243">
        <f t="shared" si="7"/>
        <v>44652</v>
      </c>
    </row>
    <row r="244" spans="1:7" x14ac:dyDescent="0.25">
      <c r="A244" s="1">
        <v>44712</v>
      </c>
      <c r="B244">
        <v>7.8</v>
      </c>
      <c r="C244">
        <v>8.1</v>
      </c>
      <c r="D244" s="2" t="str">
        <f t="shared" si="6"/>
        <v>2022/05/31 09:00:00</v>
      </c>
      <c r="F244" s="2" t="str">
        <v>2022/04/29 09:00:00</v>
      </c>
      <c r="G244">
        <f t="shared" si="7"/>
        <v>44680</v>
      </c>
    </row>
    <row r="245" spans="1:7" x14ac:dyDescent="0.25">
      <c r="A245" s="1">
        <v>44743</v>
      </c>
      <c r="B245">
        <v>8.5</v>
      </c>
      <c r="C245">
        <v>8.6</v>
      </c>
      <c r="D245" s="2" t="str">
        <f t="shared" si="6"/>
        <v>2022/07/01 09:00:00</v>
      </c>
      <c r="F245" s="2" t="str">
        <v>2022/05/31 09:00:00</v>
      </c>
      <c r="G245">
        <f t="shared" si="7"/>
        <v>44712</v>
      </c>
    </row>
    <row r="246" spans="1:7" x14ac:dyDescent="0.25">
      <c r="A246" s="1">
        <v>44771</v>
      </c>
      <c r="B246">
        <v>8.6999999999999993</v>
      </c>
      <c r="C246">
        <v>8.9</v>
      </c>
      <c r="D246" s="2" t="str">
        <f t="shared" si="6"/>
        <v>2022/07/29 09:00:00</v>
      </c>
      <c r="F246" s="2" t="str">
        <v>2022/07/01 09:00:00</v>
      </c>
      <c r="G246">
        <f t="shared" si="7"/>
        <v>44743</v>
      </c>
    </row>
    <row r="247" spans="1:7" x14ac:dyDescent="0.25">
      <c r="A247" s="1">
        <v>44804</v>
      </c>
      <c r="B247">
        <v>9</v>
      </c>
      <c r="C247">
        <v>9.1</v>
      </c>
      <c r="D247" s="2" t="str">
        <f t="shared" si="6"/>
        <v>2022/08/31 09:00:00</v>
      </c>
      <c r="F247" s="2" t="str">
        <v>2022/07/29 09:00:00</v>
      </c>
      <c r="G247">
        <f t="shared" si="7"/>
        <v>44771</v>
      </c>
    </row>
    <row r="248" spans="1:7" x14ac:dyDescent="0.25">
      <c r="A248" s="1">
        <v>44834</v>
      </c>
      <c r="B248">
        <v>9.6999999999999993</v>
      </c>
      <c r="C248">
        <v>10</v>
      </c>
      <c r="D248" s="2" t="str">
        <f t="shared" si="6"/>
        <v>2022/09/30 09:00:00</v>
      </c>
      <c r="F248" s="2" t="str">
        <v>2022/08/31 09:00:00</v>
      </c>
      <c r="G248">
        <f t="shared" si="7"/>
        <v>44804</v>
      </c>
    </row>
    <row r="249" spans="1:7" x14ac:dyDescent="0.25">
      <c r="A249" s="1">
        <v>44865</v>
      </c>
      <c r="B249">
        <v>10.3</v>
      </c>
      <c r="C249">
        <v>10.7</v>
      </c>
      <c r="D249" s="2" t="str">
        <f t="shared" si="6"/>
        <v>2022/10/31 10:00:00</v>
      </c>
      <c r="F249" s="2" t="str">
        <v>2022/09/30 09:00:00</v>
      </c>
      <c r="G249">
        <f t="shared" si="7"/>
        <v>44834</v>
      </c>
    </row>
    <row r="250" spans="1:7" x14ac:dyDescent="0.25">
      <c r="A250" s="1">
        <v>44895</v>
      </c>
      <c r="B250">
        <v>10.4</v>
      </c>
      <c r="C250">
        <v>10</v>
      </c>
      <c r="D250" s="2" t="str">
        <f t="shared" si="6"/>
        <v>2022/11/30 10:00:00</v>
      </c>
      <c r="F250" s="2" t="str">
        <v>2022/10/31 10:00:00</v>
      </c>
      <c r="G250">
        <f t="shared" si="7"/>
        <v>44865</v>
      </c>
    </row>
    <row r="251" spans="1:7" x14ac:dyDescent="0.25">
      <c r="A251" s="1">
        <v>44932</v>
      </c>
      <c r="B251">
        <v>9.5</v>
      </c>
      <c r="C251">
        <v>9.1999999999999993</v>
      </c>
      <c r="D251" s="2" t="str">
        <f t="shared" si="6"/>
        <v>2023/01/06 10:00:00</v>
      </c>
      <c r="F251" s="2" t="str">
        <v>2022/11/30 10:00:00</v>
      </c>
      <c r="G251">
        <f t="shared" si="7"/>
        <v>44895</v>
      </c>
    </row>
    <row r="252" spans="1:7" x14ac:dyDescent="0.25">
      <c r="A252" s="1">
        <v>44958</v>
      </c>
      <c r="B252">
        <v>8.9</v>
      </c>
      <c r="C252">
        <v>8.5</v>
      </c>
      <c r="D252" s="2" t="str">
        <f t="shared" si="6"/>
        <v>2023/02/01 10:00:00</v>
      </c>
      <c r="F252" s="2" t="str">
        <v>2023/01/06 10:00:00</v>
      </c>
      <c r="G252">
        <f t="shared" si="7"/>
        <v>44932</v>
      </c>
    </row>
    <row r="253" spans="1:7" x14ac:dyDescent="0.25">
      <c r="A253" s="1">
        <v>44987</v>
      </c>
      <c r="B253">
        <v>8.3000000000000007</v>
      </c>
      <c r="C253">
        <v>8.5</v>
      </c>
      <c r="D253" s="2" t="str">
        <f t="shared" si="6"/>
        <v>2023/03/02 10:00:00</v>
      </c>
      <c r="F253" s="2" t="str">
        <v>2023/02/01 10:00:00</v>
      </c>
      <c r="G253">
        <f t="shared" si="7"/>
        <v>44958</v>
      </c>
    </row>
    <row r="254" spans="1:7" x14ac:dyDescent="0.25">
      <c r="A254" s="1">
        <v>45016</v>
      </c>
      <c r="B254">
        <v>7.1</v>
      </c>
      <c r="C254">
        <v>6.9</v>
      </c>
      <c r="D254" s="2" t="str">
        <f t="shared" si="6"/>
        <v>2023/03/31 09:00:00</v>
      </c>
      <c r="F254" s="2" t="str">
        <v>2023/03/02 10:00:00</v>
      </c>
      <c r="G254">
        <f t="shared" si="7"/>
        <v>44987</v>
      </c>
    </row>
    <row r="255" spans="1:7" x14ac:dyDescent="0.25">
      <c r="A255" s="1">
        <v>45048</v>
      </c>
      <c r="B255">
        <v>6.9</v>
      </c>
      <c r="C255">
        <v>7</v>
      </c>
      <c r="D255" s="2" t="str">
        <f t="shared" si="6"/>
        <v>2023/05/02 09:00:00</v>
      </c>
      <c r="F255" s="2" t="str">
        <v>2023/03/31 09:00:00</v>
      </c>
      <c r="G255">
        <f t="shared" si="7"/>
        <v>45016</v>
      </c>
    </row>
    <row r="256" spans="1:7" x14ac:dyDescent="0.25">
      <c r="A256" s="1">
        <v>45078</v>
      </c>
      <c r="B256">
        <v>6.3</v>
      </c>
      <c r="C256">
        <v>6.1</v>
      </c>
      <c r="D256" s="2" t="str">
        <f t="shared" si="6"/>
        <v>2023/06/01 09:00:00</v>
      </c>
      <c r="F256" s="2" t="str">
        <v>2023/05/02 09:00:00</v>
      </c>
      <c r="G256">
        <f t="shared" si="7"/>
        <v>45048</v>
      </c>
    </row>
    <row r="257" spans="1:7" x14ac:dyDescent="0.25">
      <c r="A257" s="1">
        <v>45107</v>
      </c>
      <c r="B257">
        <v>5.6</v>
      </c>
      <c r="C257">
        <v>5.5</v>
      </c>
      <c r="D257" s="2" t="str">
        <f t="shared" si="6"/>
        <v>2023/06/30 09:00:00</v>
      </c>
      <c r="F257" s="2" t="str">
        <v>2023/06/01 09:00:00</v>
      </c>
      <c r="G257">
        <f t="shared" si="7"/>
        <v>45078</v>
      </c>
    </row>
    <row r="258" spans="1:7" x14ac:dyDescent="0.25">
      <c r="A258" s="1">
        <v>45138</v>
      </c>
      <c r="B258">
        <v>5.3</v>
      </c>
      <c r="C258">
        <v>5.3</v>
      </c>
      <c r="D258" s="2" t="str">
        <f t="shared" ref="D258:D289" si="8">IFERROR(_xlfn.XLOOKUP(A258,$G:$G,$F:$F,""),"")</f>
        <v>2023/07/31 09:00:00</v>
      </c>
      <c r="F258" s="2" t="str">
        <v>2023/06/30 09:00:00</v>
      </c>
      <c r="G258">
        <f t="shared" ref="G258:G316" si="9">IFERROR(INT(F258),"")</f>
        <v>45107</v>
      </c>
    </row>
    <row r="259" spans="1:7" x14ac:dyDescent="0.25">
      <c r="A259" s="1">
        <v>45169</v>
      </c>
      <c r="B259">
        <v>5.0999999999999996</v>
      </c>
      <c r="C259">
        <v>5.3</v>
      </c>
      <c r="D259" s="2" t="str">
        <f t="shared" si="8"/>
        <v>2023/08/31 09:00:00</v>
      </c>
      <c r="F259" s="2" t="str">
        <v>2023/07/31 09:00:00</v>
      </c>
      <c r="G259">
        <f t="shared" si="9"/>
        <v>45138</v>
      </c>
    </row>
    <row r="260" spans="1:7" x14ac:dyDescent="0.25">
      <c r="A260" s="1">
        <v>45198</v>
      </c>
      <c r="B260">
        <v>4.5</v>
      </c>
      <c r="C260">
        <v>4.3</v>
      </c>
      <c r="D260" s="2" t="str">
        <f t="shared" si="8"/>
        <v>2023/09/29 09:00:00</v>
      </c>
      <c r="F260" s="2" t="str">
        <v>2023/08/31 09:00:00</v>
      </c>
      <c r="G260">
        <f t="shared" si="9"/>
        <v>45169</v>
      </c>
    </row>
    <row r="261" spans="1:7" x14ac:dyDescent="0.25">
      <c r="A261" s="1">
        <v>45230</v>
      </c>
      <c r="B261">
        <v>3.1</v>
      </c>
      <c r="C261">
        <v>2.9</v>
      </c>
      <c r="D261" s="2" t="str">
        <f t="shared" si="8"/>
        <v>2023/10/31 10:00:00</v>
      </c>
      <c r="F261" s="2" t="str">
        <v>2023/09/29 09:00:00</v>
      </c>
      <c r="G261">
        <f t="shared" si="9"/>
        <v>45198</v>
      </c>
    </row>
    <row r="262" spans="1:7" x14ac:dyDescent="0.25">
      <c r="A262" s="1">
        <v>45260</v>
      </c>
      <c r="B262">
        <v>2.7</v>
      </c>
      <c r="C262">
        <v>2.4</v>
      </c>
      <c r="D262" s="2" t="str">
        <f t="shared" si="8"/>
        <v>2023/11/30 10:00:00</v>
      </c>
      <c r="F262" s="2" t="str">
        <v>2023/10/31 10:00:00</v>
      </c>
      <c r="G262">
        <f t="shared" si="9"/>
        <v>45230</v>
      </c>
    </row>
    <row r="263" spans="1:7" x14ac:dyDescent="0.25">
      <c r="A263" s="1">
        <v>45296</v>
      </c>
      <c r="B263">
        <v>2.9</v>
      </c>
      <c r="C263">
        <v>2.9</v>
      </c>
      <c r="D263" s="2" t="str">
        <f t="shared" si="8"/>
        <v>2024/01/05 10:00:00</v>
      </c>
      <c r="F263" s="2" t="str">
        <v>2023/11/30 10:00:00</v>
      </c>
      <c r="G263">
        <f t="shared" si="9"/>
        <v>45260</v>
      </c>
    </row>
    <row r="264" spans="1:7" x14ac:dyDescent="0.25">
      <c r="A264" s="1">
        <v>45323</v>
      </c>
      <c r="B264">
        <v>2.7</v>
      </c>
      <c r="C264">
        <v>2.8</v>
      </c>
      <c r="D264" s="2" t="str">
        <f t="shared" si="8"/>
        <v>2024/02/01 10:00:00</v>
      </c>
      <c r="F264" s="2" t="str">
        <v>2024/01/05 10:00:00</v>
      </c>
      <c r="G264">
        <f t="shared" si="9"/>
        <v>45296</v>
      </c>
    </row>
    <row r="265" spans="1:7" x14ac:dyDescent="0.25">
      <c r="A265" s="1">
        <v>45352</v>
      </c>
      <c r="B265">
        <v>2.5</v>
      </c>
      <c r="C265">
        <v>2.6</v>
      </c>
      <c r="D265" s="2" t="str">
        <f t="shared" si="8"/>
        <v>2024/03/01 10:00:00</v>
      </c>
      <c r="F265" s="2" t="str">
        <v>2024/02/01 10:00:00</v>
      </c>
      <c r="G265">
        <f t="shared" si="9"/>
        <v>45323</v>
      </c>
    </row>
    <row r="266" spans="1:7" x14ac:dyDescent="0.25">
      <c r="A266" s="1">
        <v>45385</v>
      </c>
      <c r="B266">
        <v>2.5</v>
      </c>
      <c r="C266">
        <v>2.4</v>
      </c>
      <c r="D266" s="2" t="str">
        <f t="shared" si="8"/>
        <v>2024/04/03 09:00:00</v>
      </c>
      <c r="F266" s="2" t="str">
        <v>2024/03/01 10:00:00</v>
      </c>
      <c r="G266">
        <f t="shared" si="9"/>
        <v>45352</v>
      </c>
    </row>
    <row r="267" spans="1:7" x14ac:dyDescent="0.25">
      <c r="A267" s="1">
        <v>45412</v>
      </c>
      <c r="B267">
        <v>2.4</v>
      </c>
      <c r="C267">
        <v>2.4</v>
      </c>
      <c r="D267" s="2" t="str">
        <f t="shared" si="8"/>
        <v>2024/04/30 09:00:00</v>
      </c>
      <c r="F267" s="2" t="str">
        <v>2024/04/03 09:00:00</v>
      </c>
      <c r="G267">
        <f t="shared" si="9"/>
        <v>45385</v>
      </c>
    </row>
    <row r="268" spans="1:7" x14ac:dyDescent="0.25">
      <c r="A268" s="1">
        <v>45443</v>
      </c>
      <c r="B268">
        <v>2.5</v>
      </c>
      <c r="C268">
        <v>2.6</v>
      </c>
      <c r="D268" s="2" t="str">
        <f t="shared" si="8"/>
        <v>2024/05/31 09:00:00</v>
      </c>
      <c r="F268" s="2" t="str">
        <v>2024/04/30 09:00:00</v>
      </c>
      <c r="G268">
        <f t="shared" si="9"/>
        <v>45412</v>
      </c>
    </row>
    <row r="269" spans="1:7" x14ac:dyDescent="0.25">
      <c r="A269" s="1">
        <v>45475</v>
      </c>
      <c r="B269">
        <v>2.5</v>
      </c>
      <c r="C269">
        <v>2.5</v>
      </c>
      <c r="D269" s="2" t="str">
        <f t="shared" si="8"/>
        <v>2024/07/02 09:00:00</v>
      </c>
      <c r="F269" s="2" t="str">
        <v>2024/05/31 09:00:00</v>
      </c>
      <c r="G269">
        <f t="shared" si="9"/>
        <v>45443</v>
      </c>
    </row>
    <row r="270" spans="1:7" x14ac:dyDescent="0.25">
      <c r="A270" s="1">
        <v>45504</v>
      </c>
      <c r="B270">
        <v>2.5</v>
      </c>
      <c r="C270">
        <v>2.6</v>
      </c>
      <c r="D270" s="2" t="str">
        <f t="shared" si="8"/>
        <v>2024/07/31 09:00:00</v>
      </c>
      <c r="F270" s="2" t="str">
        <v>2024/07/02 09:00:00</v>
      </c>
      <c r="G270">
        <f t="shared" si="9"/>
        <v>45475</v>
      </c>
    </row>
    <row r="271" spans="1:7" x14ac:dyDescent="0.25">
      <c r="A271" s="1">
        <v>45534</v>
      </c>
      <c r="B271">
        <v>2.2000000000000002</v>
      </c>
      <c r="C271">
        <v>2.2000000000000002</v>
      </c>
      <c r="D271" s="2" t="str">
        <f t="shared" si="8"/>
        <v>2024/08/30 09:00:00</v>
      </c>
      <c r="F271" s="2" t="str">
        <v>2024/07/31 09:00:00</v>
      </c>
      <c r="G271">
        <f t="shared" si="9"/>
        <v>45504</v>
      </c>
    </row>
    <row r="272" spans="1:7" x14ac:dyDescent="0.25">
      <c r="A272" s="1">
        <v>45566</v>
      </c>
      <c r="B272">
        <v>1.8</v>
      </c>
      <c r="C272">
        <v>1.8</v>
      </c>
      <c r="D272" s="2" t="str">
        <f t="shared" si="8"/>
        <v>2024/10/01 09:00:00</v>
      </c>
      <c r="F272" s="2" t="str">
        <v>2024/08/30 09:00:00</v>
      </c>
      <c r="G272">
        <f t="shared" si="9"/>
        <v>45534</v>
      </c>
    </row>
    <row r="273" spans="1:7" x14ac:dyDescent="0.25">
      <c r="A273" s="1">
        <v>45596</v>
      </c>
      <c r="B273">
        <v>1.9</v>
      </c>
      <c r="C273">
        <v>2</v>
      </c>
      <c r="D273" s="2" t="str">
        <f t="shared" si="8"/>
        <v>2024/10/31 10:00:00</v>
      </c>
      <c r="F273" s="2" t="str">
        <v>2024/10/01 09:00:00</v>
      </c>
      <c r="G273">
        <f t="shared" si="9"/>
        <v>45566</v>
      </c>
    </row>
    <row r="274" spans="1:7" x14ac:dyDescent="0.25">
      <c r="A274" s="1">
        <v>45625</v>
      </c>
      <c r="B274">
        <v>2.2999999999999998</v>
      </c>
      <c r="C274">
        <v>2.2999999999999998</v>
      </c>
      <c r="D274" s="2" t="str">
        <f t="shared" si="8"/>
        <v>2024/11/29 10:00:00</v>
      </c>
      <c r="F274" s="2" t="str">
        <v>2024/10/31 10:00:00</v>
      </c>
      <c r="G274">
        <f t="shared" si="9"/>
        <v>45596</v>
      </c>
    </row>
    <row r="275" spans="1:7" x14ac:dyDescent="0.25">
      <c r="A275" s="1">
        <v>45664</v>
      </c>
      <c r="B275">
        <v>2.4</v>
      </c>
      <c r="C275">
        <v>2.4</v>
      </c>
      <c r="D275" s="2" t="str">
        <f t="shared" si="8"/>
        <v>2025/01/07 10:00:00</v>
      </c>
      <c r="F275" s="2" t="str">
        <v>2024/11/29 10:00:00</v>
      </c>
      <c r="G275">
        <f t="shared" si="9"/>
        <v>45625</v>
      </c>
    </row>
    <row r="276" spans="1:7" x14ac:dyDescent="0.25">
      <c r="A276" s="1">
        <v>45691</v>
      </c>
      <c r="B276">
        <v>2.4</v>
      </c>
      <c r="C276">
        <v>2.5</v>
      </c>
      <c r="D276" s="2" t="str">
        <f t="shared" si="8"/>
        <v>2025/02/03 10:00:00</v>
      </c>
      <c r="F276" s="2" t="str">
        <v>2025/01/07 10:00:00</v>
      </c>
      <c r="G276">
        <f t="shared" si="9"/>
        <v>45664</v>
      </c>
    </row>
    <row r="277" spans="1:7" x14ac:dyDescent="0.25">
      <c r="A277" s="1">
        <v>45719</v>
      </c>
      <c r="B277">
        <v>2.2999999999999998</v>
      </c>
      <c r="C277">
        <v>2.4</v>
      </c>
      <c r="D277" s="2" t="str">
        <f t="shared" si="8"/>
        <v>2025/03/03 10:00:00</v>
      </c>
      <c r="F277" s="2" t="str">
        <v>2025/02/03 10:00:00</v>
      </c>
      <c r="G277">
        <f t="shared" si="9"/>
        <v>45691</v>
      </c>
    </row>
    <row r="278" spans="1:7" x14ac:dyDescent="0.25">
      <c r="A278" s="1">
        <v>45748</v>
      </c>
      <c r="B278">
        <v>2.2000000000000002</v>
      </c>
      <c r="C278">
        <v>2.2000000000000002</v>
      </c>
      <c r="D278" s="2" t="str">
        <f t="shared" si="8"/>
        <v>2025/04/01 09:00:00</v>
      </c>
      <c r="F278" s="2" t="str">
        <v>2025/03/03 10:00:00</v>
      </c>
      <c r="G278">
        <f t="shared" si="9"/>
        <v>45719</v>
      </c>
    </row>
    <row r="279" spans="1:7" x14ac:dyDescent="0.25">
      <c r="A279" s="1">
        <v>45779</v>
      </c>
      <c r="B279">
        <v>2.1</v>
      </c>
      <c r="C279">
        <v>2.2000000000000002</v>
      </c>
      <c r="D279" s="2" t="str">
        <f t="shared" si="8"/>
        <v>2025/05/02 09:00:00</v>
      </c>
      <c r="F279" s="2" t="str">
        <v>2025/04/01 09:00:00</v>
      </c>
      <c r="G279">
        <f t="shared" si="9"/>
        <v>45748</v>
      </c>
    </row>
    <row r="280" spans="1:7" x14ac:dyDescent="0.25">
      <c r="A280" s="1">
        <v>45811</v>
      </c>
      <c r="B280">
        <v>2</v>
      </c>
      <c r="C280">
        <v>1.9</v>
      </c>
      <c r="D280" s="2" t="str">
        <f t="shared" si="8"/>
        <v>2025/06/03 09:00:00</v>
      </c>
      <c r="F280" s="2" t="str">
        <v>2025/05/02 09:00:00</v>
      </c>
      <c r="G280">
        <f t="shared" si="9"/>
        <v>45779</v>
      </c>
    </row>
    <row r="281" spans="1:7" x14ac:dyDescent="0.25">
      <c r="A281" s="1">
        <v>45839</v>
      </c>
      <c r="B281">
        <v>2</v>
      </c>
      <c r="C281">
        <v>2</v>
      </c>
      <c r="D281" s="2" t="str">
        <f t="shared" si="8"/>
        <v>2025/07/01 09:00:00</v>
      </c>
      <c r="F281" s="2" t="str">
        <v>2025/06/03 09:00:00</v>
      </c>
      <c r="G281">
        <f t="shared" si="9"/>
        <v>45811</v>
      </c>
    </row>
    <row r="282" spans="1:7" x14ac:dyDescent="0.25">
      <c r="A282" s="1">
        <v>45870</v>
      </c>
      <c r="B282">
        <v>1.9</v>
      </c>
      <c r="C282">
        <v>2</v>
      </c>
      <c r="D282" s="2" t="str">
        <f t="shared" si="8"/>
        <v>2025/08/01 09:00:00</v>
      </c>
      <c r="F282" s="2" t="str">
        <v>2025/07/01 09:00:00</v>
      </c>
      <c r="G282">
        <f t="shared" si="9"/>
        <v>45839</v>
      </c>
    </row>
    <row r="283" spans="1:7" x14ac:dyDescent="0.25">
      <c r="A283" s="1">
        <v>45902</v>
      </c>
      <c r="B283">
        <v>2.1</v>
      </c>
      <c r="C283">
        <v>2.1</v>
      </c>
      <c r="D283" s="2" t="str">
        <f t="shared" si="8"/>
        <v>2025/09/02 09:00:00</v>
      </c>
      <c r="F283" s="2" t="str">
        <v>2025/08/01 09:00:00</v>
      </c>
      <c r="G283">
        <f t="shared" si="9"/>
        <v>45870</v>
      </c>
    </row>
    <row r="284" spans="1:7" x14ac:dyDescent="0.25">
      <c r="A284" s="1">
        <v>45931</v>
      </c>
      <c r="B284">
        <v>2.2000000000000002</v>
      </c>
      <c r="C284">
        <v>2.2000000000000002</v>
      </c>
      <c r="D284" s="2" t="str">
        <f t="shared" si="8"/>
        <v>2025/10/01 09:00:00</v>
      </c>
      <c r="F284" s="2" t="str">
        <v>2025/09/02 09:00:00</v>
      </c>
      <c r="G284">
        <f t="shared" si="9"/>
        <v>45902</v>
      </c>
    </row>
    <row r="285" spans="1:7" x14ac:dyDescent="0.25">
      <c r="A285" s="1">
        <v>45961</v>
      </c>
      <c r="B285">
        <v>2.1</v>
      </c>
      <c r="C285">
        <v>2.1</v>
      </c>
      <c r="D285" s="2" t="str">
        <f t="shared" si="8"/>
        <v>2025/10/31 10:00:00</v>
      </c>
      <c r="F285" s="2" t="str">
        <v>2025/10/01 09:00:00</v>
      </c>
      <c r="G285">
        <f t="shared" si="9"/>
        <v>45931</v>
      </c>
    </row>
    <row r="286" spans="1:7" x14ac:dyDescent="0.25">
      <c r="A286" s="1">
        <v>45993</v>
      </c>
      <c r="B286">
        <v>2.1</v>
      </c>
      <c r="C286">
        <v>2.2000000000000002</v>
      </c>
      <c r="D286" s="2" t="str">
        <f t="shared" si="8"/>
        <v>2025/12/02 10:00:00</v>
      </c>
      <c r="F286" s="2" t="str">
        <v>2025/10/31 10:00:00</v>
      </c>
      <c r="G286">
        <f t="shared" si="9"/>
        <v>45961</v>
      </c>
    </row>
    <row r="287" spans="1:7" x14ac:dyDescent="0.25">
      <c r="A287" s="1">
        <v>46029</v>
      </c>
      <c r="B287">
        <v>2</v>
      </c>
      <c r="C287">
        <v>2</v>
      </c>
      <c r="D287" s="2" t="str">
        <f t="shared" si="8"/>
        <v>2026/01/07 10:00:00</v>
      </c>
      <c r="F287" s="2" t="str">
        <v>2025/12/02 10:00:00</v>
      </c>
      <c r="G287">
        <f t="shared" si="9"/>
        <v>45993</v>
      </c>
    </row>
    <row r="288" spans="1:7" x14ac:dyDescent="0.25">
      <c r="A288" s="1">
        <v>46057</v>
      </c>
      <c r="B288">
        <v>1.7</v>
      </c>
      <c r="C288">
        <v>1.7</v>
      </c>
      <c r="D288" s="2" t="str">
        <f t="shared" si="8"/>
        <v>2026/02/04 10:00:00</v>
      </c>
      <c r="F288" s="2" t="str">
        <v>2026/01/07 10:00:00</v>
      </c>
      <c r="G288">
        <f t="shared" si="9"/>
        <v>46029</v>
      </c>
    </row>
    <row r="289" spans="1:7" x14ac:dyDescent="0.25">
      <c r="A289" s="1">
        <v>46084</v>
      </c>
      <c r="B289">
        <v>1.7</v>
      </c>
      <c r="C289">
        <v>1.9</v>
      </c>
      <c r="D289" s="2" t="str">
        <f t="shared" si="8"/>
        <v>2026/03/03 10:00:00</v>
      </c>
      <c r="F289" s="2" t="str">
        <v>2026/02/04 10:00:00</v>
      </c>
      <c r="G289">
        <f t="shared" si="9"/>
        <v>46057</v>
      </c>
    </row>
    <row r="290" spans="1:7" x14ac:dyDescent="0.25">
      <c r="A290" s="1"/>
      <c r="D290" s="2"/>
      <c r="F290" s="2" t="str">
        <v>2026/03/03 10:00:00</v>
      </c>
      <c r="G290">
        <f t="shared" si="9"/>
        <v>46084</v>
      </c>
    </row>
    <row r="291" spans="1:7" x14ac:dyDescent="0.25">
      <c r="A291" s="1"/>
      <c r="D291" s="2"/>
      <c r="F291" s="2"/>
      <c r="G291">
        <f t="shared" si="9"/>
        <v>0</v>
      </c>
    </row>
    <row r="292" spans="1:7" x14ac:dyDescent="0.25">
      <c r="A292" s="1"/>
      <c r="D292" s="2"/>
      <c r="F292" s="2"/>
      <c r="G292">
        <f t="shared" si="9"/>
        <v>0</v>
      </c>
    </row>
    <row r="293" spans="1:7" x14ac:dyDescent="0.25">
      <c r="A293" s="1"/>
      <c r="D293" s="2"/>
      <c r="F293" s="2"/>
      <c r="G293">
        <f t="shared" si="9"/>
        <v>0</v>
      </c>
    </row>
    <row r="294" spans="1:7" x14ac:dyDescent="0.25">
      <c r="A294" s="1"/>
      <c r="D294" s="2"/>
      <c r="F294" s="2"/>
      <c r="G294">
        <f t="shared" si="9"/>
        <v>0</v>
      </c>
    </row>
    <row r="295" spans="1:7" x14ac:dyDescent="0.25">
      <c r="A295" s="1"/>
      <c r="D295" s="2"/>
      <c r="F295" s="2"/>
      <c r="G295">
        <f t="shared" si="9"/>
        <v>0</v>
      </c>
    </row>
    <row r="296" spans="1:7" x14ac:dyDescent="0.25">
      <c r="A296" s="1"/>
      <c r="D296" s="2"/>
      <c r="F296" s="2"/>
      <c r="G296">
        <f t="shared" si="9"/>
        <v>0</v>
      </c>
    </row>
    <row r="297" spans="1:7" x14ac:dyDescent="0.25">
      <c r="A297" s="1"/>
      <c r="D297" s="2"/>
      <c r="F297" s="2"/>
      <c r="G297">
        <f t="shared" si="9"/>
        <v>0</v>
      </c>
    </row>
    <row r="298" spans="1:7" x14ac:dyDescent="0.25">
      <c r="A298" s="1"/>
      <c r="D298" s="2"/>
      <c r="F298" s="2"/>
      <c r="G298">
        <f t="shared" si="9"/>
        <v>0</v>
      </c>
    </row>
    <row r="299" spans="1:7" x14ac:dyDescent="0.25">
      <c r="A299" s="1"/>
      <c r="D299" s="2"/>
      <c r="F299" s="2"/>
      <c r="G299">
        <f t="shared" si="9"/>
        <v>0</v>
      </c>
    </row>
    <row r="300" spans="1:7" x14ac:dyDescent="0.25">
      <c r="A300" s="1"/>
      <c r="D300" s="2"/>
      <c r="F300" s="2"/>
      <c r="G300">
        <f t="shared" si="9"/>
        <v>0</v>
      </c>
    </row>
    <row r="301" spans="1:7" x14ac:dyDescent="0.25">
      <c r="A301" s="1"/>
      <c r="D301" s="2"/>
      <c r="F301" s="2"/>
      <c r="G301">
        <f t="shared" si="9"/>
        <v>0</v>
      </c>
    </row>
    <row r="302" spans="1:7" x14ac:dyDescent="0.25">
      <c r="A302" s="1"/>
      <c r="D302" s="2"/>
      <c r="F302" s="2"/>
      <c r="G302">
        <f t="shared" si="9"/>
        <v>0</v>
      </c>
    </row>
    <row r="303" spans="1:7" x14ac:dyDescent="0.25">
      <c r="A303" s="1"/>
      <c r="D303" s="2"/>
      <c r="F303" s="2"/>
      <c r="G303">
        <f t="shared" si="9"/>
        <v>0</v>
      </c>
    </row>
    <row r="304" spans="1:7" x14ac:dyDescent="0.25">
      <c r="A304" s="1"/>
      <c r="D304" s="2"/>
      <c r="F304" s="2"/>
      <c r="G304">
        <f t="shared" si="9"/>
        <v>0</v>
      </c>
    </row>
    <row r="305" spans="1:7" x14ac:dyDescent="0.25">
      <c r="A305" s="1"/>
      <c r="D305" s="2"/>
      <c r="F305" s="2"/>
      <c r="G305">
        <f t="shared" si="9"/>
        <v>0</v>
      </c>
    </row>
    <row r="306" spans="1:7" x14ac:dyDescent="0.25">
      <c r="A306" s="1"/>
      <c r="D306" s="2"/>
      <c r="F306" s="2"/>
      <c r="G306">
        <f t="shared" si="9"/>
        <v>0</v>
      </c>
    </row>
    <row r="307" spans="1:7" x14ac:dyDescent="0.25">
      <c r="A307" s="1"/>
      <c r="D307" s="2"/>
      <c r="F307" s="2"/>
      <c r="G307">
        <f t="shared" si="9"/>
        <v>0</v>
      </c>
    </row>
    <row r="308" spans="1:7" x14ac:dyDescent="0.25">
      <c r="A308" s="1"/>
      <c r="D308" s="2"/>
      <c r="F308" s="2"/>
      <c r="G308">
        <f t="shared" si="9"/>
        <v>0</v>
      </c>
    </row>
    <row r="309" spans="1:7" x14ac:dyDescent="0.25">
      <c r="A309" s="1"/>
      <c r="D309" s="2"/>
      <c r="F309" s="2"/>
      <c r="G309">
        <f t="shared" si="9"/>
        <v>0</v>
      </c>
    </row>
    <row r="310" spans="1:7" x14ac:dyDescent="0.25">
      <c r="A310" s="1"/>
      <c r="D310" s="2"/>
      <c r="F310" s="2"/>
      <c r="G310">
        <f t="shared" si="9"/>
        <v>0</v>
      </c>
    </row>
    <row r="311" spans="1:7" x14ac:dyDescent="0.25">
      <c r="A311" s="1"/>
      <c r="D311" s="2"/>
      <c r="F311" s="2"/>
      <c r="G311">
        <f t="shared" si="9"/>
        <v>0</v>
      </c>
    </row>
    <row r="312" spans="1:7" x14ac:dyDescent="0.25">
      <c r="A312" s="1"/>
      <c r="D312" s="2"/>
      <c r="F312" s="2"/>
      <c r="G312">
        <f t="shared" si="9"/>
        <v>0</v>
      </c>
    </row>
    <row r="313" spans="1:7" x14ac:dyDescent="0.25">
      <c r="A313" s="1"/>
      <c r="D313" s="2"/>
      <c r="F313" s="2"/>
      <c r="G313">
        <f t="shared" si="9"/>
        <v>0</v>
      </c>
    </row>
    <row r="314" spans="1:7" x14ac:dyDescent="0.25">
      <c r="A314" s="1"/>
      <c r="D314" s="2"/>
      <c r="F314" s="2"/>
      <c r="G314">
        <f t="shared" si="9"/>
        <v>0</v>
      </c>
    </row>
    <row r="315" spans="1:7" x14ac:dyDescent="0.25">
      <c r="A315" s="1"/>
      <c r="D315" s="2"/>
      <c r="F315" s="2"/>
      <c r="G315">
        <f t="shared" si="9"/>
        <v>0</v>
      </c>
    </row>
    <row r="316" spans="1:7" x14ac:dyDescent="0.25">
      <c r="A316" s="1"/>
      <c r="D316" s="2"/>
      <c r="F316" s="2"/>
      <c r="G316">
        <f t="shared" si="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D699-7C48-4FA1-9E9E-B5B3DE889AD2}">
  <dimension ref="A1:G316"/>
  <sheetViews>
    <sheetView workbookViewId="0">
      <selection activeCell="A2" sqref="A2"/>
    </sheetView>
  </sheetViews>
  <sheetFormatPr defaultRowHeight="15" x14ac:dyDescent="0.25"/>
  <cols>
    <col min="1" max="1" width="13.28515625" customWidth="1"/>
    <col min="2" max="2" width="6" bestFit="1" customWidth="1"/>
    <col min="3" max="3" width="5.85546875" bestFit="1" customWidth="1"/>
    <col min="4" max="4" width="17.7109375" bestFit="1" customWidth="1"/>
    <col min="5" max="5" width="18.28515625" customWidth="1"/>
    <col min="6" max="6" width="20.28515625" bestFit="1" customWidth="1"/>
    <col min="7" max="7" width="7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s="1" cm="1">
        <f t="array" ref="A2:C316">_xll.BDH("UMRTEMU Index","BN_SURVEY_MEDIAN,ACTUAL_RELEASE","2000-01-01","2026-03-19","RELEASE_DATE_OVERRIDE", "1")</f>
        <v>36529</v>
      </c>
      <c r="B2" t="str">
        <v>#N/A N/A</v>
      </c>
      <c r="C2">
        <v>9.8000000000000007</v>
      </c>
      <c r="D2" s="2" t="str">
        <f t="shared" ref="D2:D65" si="0">IFERROR(_xlfn.XLOOKUP(A2,$G:$G,$F:$F,""),"")</f>
        <v>2000/01/04 11:00:00</v>
      </c>
      <c r="F2" s="2" t="str" cm="1">
        <f t="array" ref="F2:F315">_xll.BDS("UMRTEMU Index","ECO_FUTURE_RELEASE_DATE_LIST","START_DT=20000101","END_DT=20260319")</f>
        <v>2000/01/04 11:00:00</v>
      </c>
      <c r="G2">
        <f t="shared" ref="G2:G65" si="1">IFERROR(INT(F2),"")</f>
        <v>36529</v>
      </c>
    </row>
    <row r="3" spans="1:7" x14ac:dyDescent="0.25">
      <c r="A3" s="1">
        <v>36557</v>
      </c>
      <c r="B3" t="str">
        <v>#N/A N/A</v>
      </c>
      <c r="C3">
        <v>9.6</v>
      </c>
      <c r="D3" s="2" t="str">
        <f t="shared" si="0"/>
        <v>2000/02/01 11:00:00</v>
      </c>
      <c r="F3" s="2" t="str">
        <v>2000/02/01 11:00:00</v>
      </c>
      <c r="G3">
        <f t="shared" si="1"/>
        <v>36557</v>
      </c>
    </row>
    <row r="4" spans="1:7" x14ac:dyDescent="0.25">
      <c r="A4" s="1">
        <v>36586</v>
      </c>
      <c r="B4" t="str">
        <v>#N/A N/A</v>
      </c>
      <c r="C4">
        <v>9.6</v>
      </c>
      <c r="D4" s="2" t="str">
        <f t="shared" si="0"/>
        <v>2000/03/01 11:00:00</v>
      </c>
      <c r="F4" s="2" t="str">
        <v>2000/03/01 11:00:00</v>
      </c>
      <c r="G4">
        <f t="shared" si="1"/>
        <v>36586</v>
      </c>
    </row>
    <row r="5" spans="1:7" x14ac:dyDescent="0.25">
      <c r="A5" s="1">
        <v>36620</v>
      </c>
      <c r="B5" t="str">
        <v>#N/A N/A</v>
      </c>
      <c r="C5">
        <v>9.5</v>
      </c>
      <c r="D5" s="2" t="str">
        <f t="shared" si="0"/>
        <v>2000/04/04 10:00:00</v>
      </c>
      <c r="F5" s="2" t="str">
        <v>2000/04/04 10:00:00</v>
      </c>
      <c r="G5">
        <f t="shared" si="1"/>
        <v>36620</v>
      </c>
    </row>
    <row r="6" spans="1:7" x14ac:dyDescent="0.25">
      <c r="A6" s="1">
        <v>36650</v>
      </c>
      <c r="B6">
        <v>9.4</v>
      </c>
      <c r="C6">
        <v>9.4</v>
      </c>
      <c r="D6" s="2" t="str">
        <f t="shared" si="0"/>
        <v>2000/05/04 10:00:00</v>
      </c>
      <c r="F6" s="2" t="str">
        <v>2000/05/04 10:00:00</v>
      </c>
      <c r="G6">
        <f t="shared" si="1"/>
        <v>36650</v>
      </c>
    </row>
    <row r="7" spans="1:7" x14ac:dyDescent="0.25">
      <c r="A7" s="1">
        <v>36683</v>
      </c>
      <c r="B7">
        <v>9.3000000000000007</v>
      </c>
      <c r="C7">
        <v>9.1999999999999993</v>
      </c>
      <c r="D7" s="2" t="str">
        <f t="shared" si="0"/>
        <v>2000/06/06 10:00:00</v>
      </c>
      <c r="F7" s="2" t="str">
        <v>2000/06/06 10:00:00</v>
      </c>
      <c r="G7">
        <f t="shared" si="1"/>
        <v>36683</v>
      </c>
    </row>
    <row r="8" spans="1:7" x14ac:dyDescent="0.25">
      <c r="A8" s="1">
        <v>36711</v>
      </c>
      <c r="B8">
        <v>9.1</v>
      </c>
      <c r="C8">
        <v>9.1999999999999993</v>
      </c>
      <c r="D8" s="2" t="str">
        <f t="shared" si="0"/>
        <v>2000/07/04 10:00:00</v>
      </c>
      <c r="F8" s="2" t="str">
        <v>2000/07/04 10:00:00</v>
      </c>
      <c r="G8">
        <f t="shared" si="1"/>
        <v>36711</v>
      </c>
    </row>
    <row r="9" spans="1:7" x14ac:dyDescent="0.25">
      <c r="A9" s="1">
        <v>36739</v>
      </c>
      <c r="B9">
        <v>9.1</v>
      </c>
      <c r="C9">
        <v>9.1</v>
      </c>
      <c r="D9" s="2" t="str">
        <f t="shared" si="0"/>
        <v>2000/08/01 10:00:00</v>
      </c>
      <c r="F9" s="2" t="str">
        <v>2000/08/01 10:00:00</v>
      </c>
      <c r="G9">
        <f t="shared" si="1"/>
        <v>36739</v>
      </c>
    </row>
    <row r="10" spans="1:7" x14ac:dyDescent="0.25">
      <c r="A10" s="1">
        <v>36774</v>
      </c>
      <c r="B10">
        <v>9.1</v>
      </c>
      <c r="C10">
        <v>9.1</v>
      </c>
      <c r="D10" s="2" t="str">
        <f t="shared" si="0"/>
        <v>2000/09/05 10:00:00</v>
      </c>
      <c r="F10" s="2" t="str">
        <v>2000/09/05 10:00:00</v>
      </c>
      <c r="G10">
        <f t="shared" si="1"/>
        <v>36774</v>
      </c>
    </row>
    <row r="11" spans="1:7" x14ac:dyDescent="0.25">
      <c r="A11" s="1">
        <v>36802</v>
      </c>
      <c r="B11">
        <v>9</v>
      </c>
      <c r="C11">
        <v>9</v>
      </c>
      <c r="D11" s="2" t="str">
        <f t="shared" si="0"/>
        <v>2000/10/03 10:00:00</v>
      </c>
      <c r="F11" s="2" t="str">
        <v>2000/10/03 10:00:00</v>
      </c>
      <c r="G11">
        <f t="shared" si="1"/>
        <v>36802</v>
      </c>
    </row>
    <row r="12" spans="1:7" x14ac:dyDescent="0.25">
      <c r="A12" s="1">
        <v>36837</v>
      </c>
      <c r="B12">
        <v>8.9</v>
      </c>
      <c r="C12">
        <v>9</v>
      </c>
      <c r="D12" s="2" t="str">
        <f t="shared" si="0"/>
        <v>2000/11/07 11:00:00</v>
      </c>
      <c r="F12" s="2" t="str">
        <v>2000/11/07 11:00:00</v>
      </c>
      <c r="G12">
        <f t="shared" si="1"/>
        <v>36837</v>
      </c>
    </row>
    <row r="13" spans="1:7" x14ac:dyDescent="0.25">
      <c r="A13" s="1">
        <v>36865</v>
      </c>
      <c r="B13">
        <v>8.9</v>
      </c>
      <c r="C13">
        <v>8.9</v>
      </c>
      <c r="D13" s="2" t="str">
        <f t="shared" si="0"/>
        <v>2000/12/05 11:00:00</v>
      </c>
      <c r="F13" s="2" t="str">
        <v>2000/12/05 11:00:00</v>
      </c>
      <c r="G13">
        <f t="shared" si="1"/>
        <v>36865</v>
      </c>
    </row>
    <row r="14" spans="1:7" x14ac:dyDescent="0.25">
      <c r="A14" s="1">
        <v>36894</v>
      </c>
      <c r="B14">
        <v>8.8000000000000007</v>
      </c>
      <c r="C14">
        <v>8.8000000000000007</v>
      </c>
      <c r="D14" s="2" t="str">
        <f t="shared" si="0"/>
        <v>2001/01/03 11:00:00</v>
      </c>
      <c r="F14" s="2" t="str">
        <v>2001/01/03 11:00:00</v>
      </c>
      <c r="G14">
        <f t="shared" si="1"/>
        <v>36894</v>
      </c>
    </row>
    <row r="15" spans="1:7" x14ac:dyDescent="0.25">
      <c r="A15" s="1">
        <v>36922</v>
      </c>
      <c r="B15">
        <v>8.6999999999999993</v>
      </c>
      <c r="C15">
        <v>8.6999999999999993</v>
      </c>
      <c r="D15" s="2" t="str">
        <f t="shared" si="0"/>
        <v>2001/01/31 11:00:00</v>
      </c>
      <c r="F15" s="2" t="str">
        <v>2001/01/31 11:00:00</v>
      </c>
      <c r="G15">
        <f t="shared" si="1"/>
        <v>36922</v>
      </c>
    </row>
    <row r="16" spans="1:7" x14ac:dyDescent="0.25">
      <c r="A16" s="1">
        <v>36950</v>
      </c>
      <c r="B16" t="str">
        <v>#N/A N/A</v>
      </c>
      <c r="C16">
        <v>8.6999999999999993</v>
      </c>
      <c r="D16" s="2" t="str">
        <f t="shared" si="0"/>
        <v/>
      </c>
      <c r="F16" s="2" t="str">
        <v>2001/04/03 10:00:00</v>
      </c>
      <c r="G16">
        <f t="shared" si="1"/>
        <v>36984</v>
      </c>
    </row>
    <row r="17" spans="1:7" x14ac:dyDescent="0.25">
      <c r="A17" s="1">
        <v>36984</v>
      </c>
      <c r="B17">
        <v>8.8000000000000007</v>
      </c>
      <c r="C17">
        <v>8.6999999999999993</v>
      </c>
      <c r="D17" s="2" t="str">
        <f t="shared" si="0"/>
        <v>2001/04/03 10:00:00</v>
      </c>
      <c r="F17" s="2" t="str">
        <v>2001/05/03 10:00:00</v>
      </c>
      <c r="G17">
        <f t="shared" si="1"/>
        <v>37014</v>
      </c>
    </row>
    <row r="18" spans="1:7" x14ac:dyDescent="0.25">
      <c r="A18" s="1">
        <v>37014</v>
      </c>
      <c r="B18">
        <v>8.6</v>
      </c>
      <c r="C18">
        <v>8.4</v>
      </c>
      <c r="D18" s="2" t="str">
        <f t="shared" si="0"/>
        <v>2001/05/03 10:00:00</v>
      </c>
      <c r="F18" s="2" t="str">
        <v>2001/06/06 10:00:00</v>
      </c>
      <c r="G18">
        <f t="shared" si="1"/>
        <v>37048</v>
      </c>
    </row>
    <row r="19" spans="1:7" x14ac:dyDescent="0.25">
      <c r="A19" s="1">
        <v>37048</v>
      </c>
      <c r="B19">
        <v>8.4</v>
      </c>
      <c r="C19">
        <v>8.3000000000000007</v>
      </c>
      <c r="D19" s="2" t="str">
        <f t="shared" si="0"/>
        <v>2001/06/06 10:00:00</v>
      </c>
      <c r="F19" s="2" t="str">
        <v>2001/07/03 10:00:00</v>
      </c>
      <c r="G19">
        <f t="shared" si="1"/>
        <v>37075</v>
      </c>
    </row>
    <row r="20" spans="1:7" x14ac:dyDescent="0.25">
      <c r="A20" s="1">
        <v>37075</v>
      </c>
      <c r="B20">
        <v>8.3000000000000007</v>
      </c>
      <c r="C20">
        <v>8.3000000000000007</v>
      </c>
      <c r="D20" s="2" t="str">
        <f t="shared" si="0"/>
        <v>2001/07/03 10:00:00</v>
      </c>
      <c r="F20" s="2" t="str">
        <v>2001/08/01 10:00:00</v>
      </c>
      <c r="G20">
        <f t="shared" si="1"/>
        <v>37104</v>
      </c>
    </row>
    <row r="21" spans="1:7" x14ac:dyDescent="0.25">
      <c r="A21" s="1">
        <v>37104</v>
      </c>
      <c r="B21">
        <v>8.3000000000000007</v>
      </c>
      <c r="C21">
        <v>8.3000000000000007</v>
      </c>
      <c r="D21" s="2" t="str">
        <f t="shared" si="0"/>
        <v>2001/08/01 10:00:00</v>
      </c>
      <c r="F21" s="2" t="str">
        <v>2001/09/04 10:00:00</v>
      </c>
      <c r="G21">
        <f t="shared" si="1"/>
        <v>37138</v>
      </c>
    </row>
    <row r="22" spans="1:7" x14ac:dyDescent="0.25">
      <c r="A22" s="1">
        <v>37138</v>
      </c>
      <c r="B22">
        <v>8.3000000000000007</v>
      </c>
      <c r="C22">
        <v>8.3000000000000007</v>
      </c>
      <c r="D22" s="2" t="str">
        <f t="shared" si="0"/>
        <v>2001/09/04 10:00:00</v>
      </c>
      <c r="F22" s="2" t="str">
        <v>2001/10/02 10:00:00</v>
      </c>
      <c r="G22">
        <f t="shared" si="1"/>
        <v>37166</v>
      </c>
    </row>
    <row r="23" spans="1:7" x14ac:dyDescent="0.25">
      <c r="A23" s="1">
        <v>37166</v>
      </c>
      <c r="B23">
        <v>8.4</v>
      </c>
      <c r="C23">
        <v>8.3000000000000007</v>
      </c>
      <c r="D23" s="2" t="str">
        <f t="shared" si="0"/>
        <v>2001/10/02 10:00:00</v>
      </c>
      <c r="F23" s="2" t="str">
        <v>2001/11/06 11:00:00</v>
      </c>
      <c r="G23">
        <f t="shared" si="1"/>
        <v>37201</v>
      </c>
    </row>
    <row r="24" spans="1:7" x14ac:dyDescent="0.25">
      <c r="A24" s="1">
        <v>37201</v>
      </c>
      <c r="B24">
        <v>8.4</v>
      </c>
      <c r="C24">
        <v>8.3000000000000007</v>
      </c>
      <c r="D24" s="2" t="str">
        <f t="shared" si="0"/>
        <v>2001/11/06 11:00:00</v>
      </c>
      <c r="F24" s="2" t="str">
        <v>2001/12/04 11:00:00</v>
      </c>
      <c r="G24">
        <f t="shared" si="1"/>
        <v>37229</v>
      </c>
    </row>
    <row r="25" spans="1:7" x14ac:dyDescent="0.25">
      <c r="A25" s="1">
        <v>37229</v>
      </c>
      <c r="B25">
        <v>8.4</v>
      </c>
      <c r="C25">
        <v>8.4</v>
      </c>
      <c r="D25" s="2" t="str">
        <f t="shared" si="0"/>
        <v>2001/12/04 11:00:00</v>
      </c>
      <c r="F25" s="2" t="str">
        <v>2002/01/04 10:44:00</v>
      </c>
      <c r="G25">
        <f t="shared" si="1"/>
        <v>37260</v>
      </c>
    </row>
    <row r="26" spans="1:7" x14ac:dyDescent="0.25">
      <c r="A26" s="1">
        <v>37260</v>
      </c>
      <c r="B26">
        <v>8.5</v>
      </c>
      <c r="C26">
        <v>8.5</v>
      </c>
      <c r="D26" s="2" t="str">
        <f t="shared" si="0"/>
        <v>2002/01/04 10:44:00</v>
      </c>
      <c r="F26" s="2" t="str">
        <v>2002/02/05 11:00:00</v>
      </c>
      <c r="G26">
        <f t="shared" si="1"/>
        <v>37292</v>
      </c>
    </row>
    <row r="27" spans="1:7" x14ac:dyDescent="0.25">
      <c r="A27" s="1">
        <v>37292</v>
      </c>
      <c r="B27">
        <v>8.5</v>
      </c>
      <c r="C27">
        <v>8.5</v>
      </c>
      <c r="D27" s="2" t="str">
        <f t="shared" si="0"/>
        <v>2002/02/05 11:00:00</v>
      </c>
      <c r="F27" s="2" t="str">
        <v>2002/03/05 11:00:00</v>
      </c>
      <c r="G27">
        <f t="shared" si="1"/>
        <v>37320</v>
      </c>
    </row>
    <row r="28" spans="1:7" x14ac:dyDescent="0.25">
      <c r="A28" s="1">
        <v>37320</v>
      </c>
      <c r="B28">
        <v>8.6</v>
      </c>
      <c r="C28">
        <v>8.4</v>
      </c>
      <c r="D28" s="2" t="str">
        <f t="shared" si="0"/>
        <v>2002/03/05 11:00:00</v>
      </c>
      <c r="F28" s="2" t="str">
        <v>2002/04/03 10:00:00</v>
      </c>
      <c r="G28">
        <f t="shared" si="1"/>
        <v>37349</v>
      </c>
    </row>
    <row r="29" spans="1:7" x14ac:dyDescent="0.25">
      <c r="A29" s="1">
        <v>37349</v>
      </c>
      <c r="B29">
        <v>8.4</v>
      </c>
      <c r="C29">
        <v>8.4</v>
      </c>
      <c r="D29" s="2" t="str">
        <f t="shared" si="0"/>
        <v>2002/04/03 10:00:00</v>
      </c>
      <c r="F29" s="2" t="str">
        <v>2002/04/30 10:00:00</v>
      </c>
      <c r="G29">
        <f t="shared" si="1"/>
        <v>37376</v>
      </c>
    </row>
    <row r="30" spans="1:7" x14ac:dyDescent="0.25">
      <c r="A30" s="1">
        <v>37376</v>
      </c>
      <c r="B30">
        <v>8.4</v>
      </c>
      <c r="C30">
        <v>8.4</v>
      </c>
      <c r="D30" s="2" t="str">
        <f t="shared" si="0"/>
        <v>2002/04/30 10:00:00</v>
      </c>
      <c r="F30" s="2" t="str">
        <v>2002/06/04 10:00:00</v>
      </c>
      <c r="G30">
        <f t="shared" si="1"/>
        <v>37411</v>
      </c>
    </row>
    <row r="31" spans="1:7" x14ac:dyDescent="0.25">
      <c r="A31" s="1">
        <v>37411</v>
      </c>
      <c r="B31">
        <v>8.4</v>
      </c>
      <c r="C31">
        <v>8.3000000000000007</v>
      </c>
      <c r="D31" s="2" t="str">
        <f t="shared" si="0"/>
        <v>2002/06/04 10:00:00</v>
      </c>
      <c r="F31" s="2" t="str">
        <v>2002/07/02 10:00:00</v>
      </c>
      <c r="G31">
        <f t="shared" si="1"/>
        <v>37439</v>
      </c>
    </row>
    <row r="32" spans="1:7" x14ac:dyDescent="0.25">
      <c r="A32" s="1">
        <v>37439</v>
      </c>
      <c r="B32">
        <v>8.3000000000000007</v>
      </c>
      <c r="C32">
        <v>8.3000000000000007</v>
      </c>
      <c r="D32" s="2" t="str">
        <f t="shared" si="0"/>
        <v>2002/07/02 10:00:00</v>
      </c>
      <c r="F32" s="2" t="str">
        <v>2002/08/06 10:00:00</v>
      </c>
      <c r="G32">
        <f t="shared" si="1"/>
        <v>37474</v>
      </c>
    </row>
    <row r="33" spans="1:7" x14ac:dyDescent="0.25">
      <c r="A33" s="1">
        <v>37474</v>
      </c>
      <c r="B33">
        <v>8.4</v>
      </c>
      <c r="C33">
        <v>8.4</v>
      </c>
      <c r="D33" s="2" t="str">
        <f t="shared" si="0"/>
        <v>2002/08/06 10:00:00</v>
      </c>
      <c r="F33" s="2" t="str">
        <v>2002/09/04 10:00:00</v>
      </c>
      <c r="G33">
        <f t="shared" si="1"/>
        <v>37503</v>
      </c>
    </row>
    <row r="34" spans="1:7" x14ac:dyDescent="0.25">
      <c r="A34" s="1">
        <v>37503</v>
      </c>
      <c r="B34">
        <v>8.3000000000000007</v>
      </c>
      <c r="C34">
        <v>8.3000000000000007</v>
      </c>
      <c r="D34" s="2" t="str">
        <f t="shared" si="0"/>
        <v>2002/09/04 10:00:00</v>
      </c>
      <c r="F34" s="2" t="str">
        <v>2002/10/02 10:00:00</v>
      </c>
      <c r="G34">
        <f t="shared" si="1"/>
        <v>37531</v>
      </c>
    </row>
    <row r="35" spans="1:7" x14ac:dyDescent="0.25">
      <c r="A35" s="1">
        <v>37531</v>
      </c>
      <c r="B35">
        <v>8.3000000000000007</v>
      </c>
      <c r="C35">
        <v>8.3000000000000007</v>
      </c>
      <c r="D35" s="2" t="str">
        <f t="shared" si="0"/>
        <v>2002/10/02 10:00:00</v>
      </c>
      <c r="F35" s="2" t="str">
        <v>2002/11/05 11:00:00</v>
      </c>
      <c r="G35">
        <f t="shared" si="1"/>
        <v>37565</v>
      </c>
    </row>
    <row r="36" spans="1:7" x14ac:dyDescent="0.25">
      <c r="A36" s="1">
        <v>37565</v>
      </c>
      <c r="B36">
        <v>8.3000000000000007</v>
      </c>
      <c r="C36">
        <v>8.3000000000000007</v>
      </c>
      <c r="D36" s="2" t="str">
        <f t="shared" si="0"/>
        <v>2002/11/05 11:00:00</v>
      </c>
      <c r="F36" s="2" t="str">
        <v>2002/12/03 11:00:00</v>
      </c>
      <c r="G36">
        <f t="shared" si="1"/>
        <v>37593</v>
      </c>
    </row>
    <row r="37" spans="1:7" x14ac:dyDescent="0.25">
      <c r="A37" s="1">
        <v>37593</v>
      </c>
      <c r="B37">
        <v>8.3000000000000007</v>
      </c>
      <c r="C37">
        <v>8.4</v>
      </c>
      <c r="D37" s="2" t="str">
        <f t="shared" si="0"/>
        <v>2002/12/03 11:00:00</v>
      </c>
      <c r="F37" s="2" t="str">
        <v>2003/01/07 11:00:00</v>
      </c>
      <c r="G37">
        <f t="shared" si="1"/>
        <v>37628</v>
      </c>
    </row>
    <row r="38" spans="1:7" x14ac:dyDescent="0.25">
      <c r="A38" s="1">
        <v>37628</v>
      </c>
      <c r="B38">
        <v>8.4</v>
      </c>
      <c r="C38">
        <v>8.4</v>
      </c>
      <c r="D38" s="2" t="str">
        <f t="shared" si="0"/>
        <v>2003/01/07 11:00:00</v>
      </c>
      <c r="F38" s="2" t="str">
        <v>2003/02/03 11:00:00</v>
      </c>
      <c r="G38">
        <f t="shared" si="1"/>
        <v>37655</v>
      </c>
    </row>
    <row r="39" spans="1:7" x14ac:dyDescent="0.25">
      <c r="A39" s="1">
        <v>37655</v>
      </c>
      <c r="B39">
        <v>8.4</v>
      </c>
      <c r="C39">
        <v>8.5</v>
      </c>
      <c r="D39" s="2" t="str">
        <f t="shared" si="0"/>
        <v>2003/02/03 11:00:00</v>
      </c>
      <c r="F39" s="2" t="str">
        <v>2003/03/04 11:00:00</v>
      </c>
      <c r="G39">
        <f t="shared" si="1"/>
        <v>37684</v>
      </c>
    </row>
    <row r="40" spans="1:7" x14ac:dyDescent="0.25">
      <c r="A40" s="1">
        <v>37684</v>
      </c>
      <c r="B40">
        <v>8.6</v>
      </c>
      <c r="C40">
        <v>8.6</v>
      </c>
      <c r="D40" s="2" t="str">
        <f t="shared" si="0"/>
        <v>2003/03/04 11:00:00</v>
      </c>
      <c r="F40" s="2" t="str">
        <v>2003/04/01 10:00:00</v>
      </c>
      <c r="G40">
        <f t="shared" si="1"/>
        <v>37712</v>
      </c>
    </row>
    <row r="41" spans="1:7" x14ac:dyDescent="0.25">
      <c r="A41" s="1">
        <v>37712</v>
      </c>
      <c r="B41">
        <v>8.6999999999999993</v>
      </c>
      <c r="C41">
        <v>8.6999999999999993</v>
      </c>
      <c r="D41" s="2" t="str">
        <f t="shared" si="0"/>
        <v>2003/04/01 10:00:00</v>
      </c>
      <c r="F41" s="2" t="str">
        <v>2003/05/06 10:00:00</v>
      </c>
      <c r="G41">
        <f t="shared" si="1"/>
        <v>37747</v>
      </c>
    </row>
    <row r="42" spans="1:7" x14ac:dyDescent="0.25">
      <c r="A42" s="1">
        <v>37747</v>
      </c>
      <c r="B42">
        <v>8.8000000000000007</v>
      </c>
      <c r="C42">
        <v>8.6999999999999993</v>
      </c>
      <c r="D42" s="2" t="str">
        <f t="shared" si="0"/>
        <v>2003/05/06 10:00:00</v>
      </c>
      <c r="F42" s="2" t="str">
        <v>2003/06/03 10:00:00</v>
      </c>
      <c r="G42">
        <f t="shared" si="1"/>
        <v>37775</v>
      </c>
    </row>
    <row r="43" spans="1:7" x14ac:dyDescent="0.25">
      <c r="A43" s="1">
        <v>37775</v>
      </c>
      <c r="B43">
        <v>8.8000000000000007</v>
      </c>
      <c r="C43">
        <v>8.8000000000000007</v>
      </c>
      <c r="D43" s="2" t="str">
        <f t="shared" si="0"/>
        <v>2003/06/03 10:00:00</v>
      </c>
      <c r="F43" s="2" t="str">
        <v>2003/07/01 10:00:00</v>
      </c>
      <c r="G43">
        <f t="shared" si="1"/>
        <v>37803</v>
      </c>
    </row>
    <row r="44" spans="1:7" x14ac:dyDescent="0.25">
      <c r="A44" s="1">
        <v>37803</v>
      </c>
      <c r="B44">
        <v>8.8000000000000007</v>
      </c>
      <c r="C44">
        <v>8.8000000000000007</v>
      </c>
      <c r="D44" s="2" t="str">
        <f t="shared" si="0"/>
        <v>2003/07/01 10:00:00</v>
      </c>
      <c r="F44" s="2" t="str">
        <v>2003/08/05 10:00:00</v>
      </c>
      <c r="G44">
        <f t="shared" si="1"/>
        <v>37838</v>
      </c>
    </row>
    <row r="45" spans="1:7" x14ac:dyDescent="0.25">
      <c r="A45" s="1">
        <v>37838</v>
      </c>
      <c r="B45">
        <v>8.8000000000000007</v>
      </c>
      <c r="C45">
        <v>8.9</v>
      </c>
      <c r="D45" s="2" t="str">
        <f t="shared" si="0"/>
        <v>2003/08/05 10:00:00</v>
      </c>
      <c r="F45" s="2" t="str">
        <v>2003/09/02 10:00:00</v>
      </c>
      <c r="G45">
        <f t="shared" si="1"/>
        <v>37866</v>
      </c>
    </row>
    <row r="46" spans="1:7" x14ac:dyDescent="0.25">
      <c r="A46" s="1">
        <v>37866</v>
      </c>
      <c r="B46">
        <v>8.9</v>
      </c>
      <c r="C46">
        <v>8.9</v>
      </c>
      <c r="D46" s="2" t="str">
        <f t="shared" si="0"/>
        <v>2003/09/02 10:00:00</v>
      </c>
      <c r="F46" s="2" t="str">
        <v>2003/10/01 10:00:00</v>
      </c>
      <c r="G46">
        <f t="shared" si="1"/>
        <v>37895</v>
      </c>
    </row>
    <row r="47" spans="1:7" x14ac:dyDescent="0.25">
      <c r="A47" s="1">
        <v>37895</v>
      </c>
      <c r="B47">
        <v>8.9</v>
      </c>
      <c r="C47">
        <v>8.8000000000000007</v>
      </c>
      <c r="D47" s="2" t="str">
        <f t="shared" si="0"/>
        <v>2003/10/01 10:00:00</v>
      </c>
      <c r="F47" s="2" t="str">
        <v>2003/11/05 11:00:00</v>
      </c>
      <c r="G47">
        <f t="shared" si="1"/>
        <v>37930</v>
      </c>
    </row>
    <row r="48" spans="1:7" x14ac:dyDescent="0.25">
      <c r="A48" s="1">
        <v>37930</v>
      </c>
      <c r="B48">
        <v>8.8000000000000007</v>
      </c>
      <c r="C48">
        <v>8.8000000000000007</v>
      </c>
      <c r="D48" s="2" t="str">
        <f t="shared" si="0"/>
        <v>2003/11/05 11:00:00</v>
      </c>
      <c r="F48" s="2" t="str">
        <v>2003/12/02 11:00:00</v>
      </c>
      <c r="G48">
        <f t="shared" si="1"/>
        <v>37957</v>
      </c>
    </row>
    <row r="49" spans="1:7" x14ac:dyDescent="0.25">
      <c r="A49" s="1">
        <v>37957</v>
      </c>
      <c r="B49">
        <v>8.8000000000000007</v>
      </c>
      <c r="C49">
        <v>8.8000000000000007</v>
      </c>
      <c r="D49" s="2" t="str">
        <f t="shared" si="0"/>
        <v>2003/12/02 11:00:00</v>
      </c>
      <c r="F49" s="2" t="str">
        <v>2004/01/08 11:00:00</v>
      </c>
      <c r="G49">
        <f t="shared" si="1"/>
        <v>37994</v>
      </c>
    </row>
    <row r="50" spans="1:7" x14ac:dyDescent="0.25">
      <c r="A50" s="1">
        <v>37994</v>
      </c>
      <c r="B50">
        <v>8.8000000000000007</v>
      </c>
      <c r="C50">
        <v>8.8000000000000007</v>
      </c>
      <c r="D50" s="2" t="str">
        <f t="shared" si="0"/>
        <v>2004/01/08 11:00:00</v>
      </c>
      <c r="F50" s="2" t="str">
        <v>2004/02/03 11:00:00</v>
      </c>
      <c r="G50">
        <f t="shared" si="1"/>
        <v>38020</v>
      </c>
    </row>
    <row r="51" spans="1:7" x14ac:dyDescent="0.25">
      <c r="A51" s="1">
        <v>38020</v>
      </c>
      <c r="B51">
        <v>8.8000000000000007</v>
      </c>
      <c r="C51">
        <v>8.8000000000000007</v>
      </c>
      <c r="D51" s="2" t="str">
        <f t="shared" si="0"/>
        <v>2004/02/03 11:00:00</v>
      </c>
      <c r="F51" s="2" t="str">
        <v>2004/03/02 10:00:00</v>
      </c>
      <c r="G51">
        <f t="shared" si="1"/>
        <v>38048</v>
      </c>
    </row>
    <row r="52" spans="1:7" x14ac:dyDescent="0.25">
      <c r="A52" s="1">
        <v>38048</v>
      </c>
      <c r="B52">
        <v>8.8000000000000007</v>
      </c>
      <c r="C52">
        <v>8.8000000000000007</v>
      </c>
      <c r="D52" s="2" t="str">
        <f t="shared" si="0"/>
        <v>2004/03/02 10:00:00</v>
      </c>
      <c r="F52" s="2" t="str">
        <v>2004/04/01 09:00:00</v>
      </c>
      <c r="G52">
        <f t="shared" si="1"/>
        <v>38078</v>
      </c>
    </row>
    <row r="53" spans="1:7" x14ac:dyDescent="0.25">
      <c r="A53" s="1">
        <v>38078</v>
      </c>
      <c r="B53">
        <v>8.8000000000000007</v>
      </c>
      <c r="C53">
        <v>8.8000000000000007</v>
      </c>
      <c r="D53" s="2" t="str">
        <f t="shared" si="0"/>
        <v>2004/04/01 09:00:00</v>
      </c>
      <c r="F53" s="2" t="str">
        <v>2004/05/04 09:00:00</v>
      </c>
      <c r="G53">
        <f t="shared" si="1"/>
        <v>38111</v>
      </c>
    </row>
    <row r="54" spans="1:7" x14ac:dyDescent="0.25">
      <c r="A54" s="1">
        <v>38111</v>
      </c>
      <c r="B54">
        <v>8.8000000000000007</v>
      </c>
      <c r="C54">
        <v>8.8000000000000007</v>
      </c>
      <c r="D54" s="2" t="str">
        <f t="shared" si="0"/>
        <v>2004/05/04 09:00:00</v>
      </c>
      <c r="F54" s="2" t="str">
        <v>2004/06/02 09:00:00</v>
      </c>
      <c r="G54">
        <f t="shared" si="1"/>
        <v>38140</v>
      </c>
    </row>
    <row r="55" spans="1:7" x14ac:dyDescent="0.25">
      <c r="A55" s="1">
        <v>38140</v>
      </c>
      <c r="B55">
        <v>8.8000000000000007</v>
      </c>
      <c r="C55">
        <v>9</v>
      </c>
      <c r="D55" s="2" t="str">
        <f t="shared" si="0"/>
        <v>2004/06/02 09:00:00</v>
      </c>
      <c r="F55" s="2" t="str">
        <v>2004/07/01 09:00:00</v>
      </c>
      <c r="G55">
        <f t="shared" si="1"/>
        <v>38169</v>
      </c>
    </row>
    <row r="56" spans="1:7" x14ac:dyDescent="0.25">
      <c r="A56" s="1">
        <v>38169</v>
      </c>
      <c r="B56">
        <v>9</v>
      </c>
      <c r="C56">
        <v>9</v>
      </c>
      <c r="D56" s="2" t="str">
        <f t="shared" si="0"/>
        <v>2004/07/01 09:00:00</v>
      </c>
      <c r="F56" s="2" t="str">
        <v>2004/08/03 09:00:00</v>
      </c>
      <c r="G56">
        <f t="shared" si="1"/>
        <v>38202</v>
      </c>
    </row>
    <row r="57" spans="1:7" x14ac:dyDescent="0.25">
      <c r="A57" s="1">
        <v>38202</v>
      </c>
      <c r="B57">
        <v>9</v>
      </c>
      <c r="C57">
        <v>9</v>
      </c>
      <c r="D57" s="2" t="str">
        <f t="shared" si="0"/>
        <v>2004/08/03 09:00:00</v>
      </c>
      <c r="F57" s="2" t="str">
        <v>2004/09/01 09:00:00</v>
      </c>
      <c r="G57">
        <f t="shared" si="1"/>
        <v>38231</v>
      </c>
    </row>
    <row r="58" spans="1:7" x14ac:dyDescent="0.25">
      <c r="A58" s="1">
        <v>38231</v>
      </c>
      <c r="B58">
        <v>9</v>
      </c>
      <c r="C58">
        <v>9</v>
      </c>
      <c r="D58" s="2" t="str">
        <f t="shared" si="0"/>
        <v>2004/09/01 09:00:00</v>
      </c>
      <c r="F58" s="2" t="str">
        <v>2004/10/05 09:00:00</v>
      </c>
      <c r="G58">
        <f t="shared" si="1"/>
        <v>38265</v>
      </c>
    </row>
    <row r="59" spans="1:7" x14ac:dyDescent="0.25">
      <c r="A59" s="1">
        <v>38265</v>
      </c>
      <c r="B59">
        <v>9</v>
      </c>
      <c r="C59">
        <v>9</v>
      </c>
      <c r="D59" s="2" t="str">
        <f t="shared" si="0"/>
        <v>2004/10/05 09:00:00</v>
      </c>
      <c r="F59" s="2" t="str">
        <v>2004/11/04 10:00:00</v>
      </c>
      <c r="G59">
        <f t="shared" si="1"/>
        <v>38295</v>
      </c>
    </row>
    <row r="60" spans="1:7" x14ac:dyDescent="0.25">
      <c r="A60" s="1">
        <v>38295</v>
      </c>
      <c r="B60">
        <v>9</v>
      </c>
      <c r="C60">
        <v>8.9</v>
      </c>
      <c r="D60" s="2" t="str">
        <f t="shared" si="0"/>
        <v>2004/11/04 10:00:00</v>
      </c>
      <c r="F60" s="2" t="str">
        <v>2004/12/01 10:00:00</v>
      </c>
      <c r="G60">
        <f t="shared" si="1"/>
        <v>38322</v>
      </c>
    </row>
    <row r="61" spans="1:7" x14ac:dyDescent="0.25">
      <c r="A61" s="1">
        <v>38322</v>
      </c>
      <c r="B61">
        <v>8.9</v>
      </c>
      <c r="C61">
        <v>8.9</v>
      </c>
      <c r="D61" s="2" t="str">
        <f t="shared" si="0"/>
        <v>2004/12/01 10:00:00</v>
      </c>
      <c r="F61" s="2" t="str">
        <v>2005/01/07 10:00:00</v>
      </c>
      <c r="G61">
        <f t="shared" si="1"/>
        <v>38359</v>
      </c>
    </row>
    <row r="62" spans="1:7" x14ac:dyDescent="0.25">
      <c r="A62" s="1">
        <v>38359</v>
      </c>
      <c r="B62">
        <v>8.9</v>
      </c>
      <c r="C62">
        <v>8.9</v>
      </c>
      <c r="D62" s="2" t="str">
        <f t="shared" si="0"/>
        <v>2005/01/07 10:00:00</v>
      </c>
      <c r="F62" s="2" t="str">
        <v>2005/02/01 10:00:00</v>
      </c>
      <c r="G62">
        <f t="shared" si="1"/>
        <v>38384</v>
      </c>
    </row>
    <row r="63" spans="1:7" x14ac:dyDescent="0.25">
      <c r="A63" s="1">
        <v>38384</v>
      </c>
      <c r="B63">
        <v>8.9</v>
      </c>
      <c r="C63">
        <v>8.9</v>
      </c>
      <c r="D63" s="2" t="str">
        <f t="shared" si="0"/>
        <v>2005/02/01 10:00:00</v>
      </c>
      <c r="F63" s="2" t="str">
        <v>2005/03/04 10:00:00</v>
      </c>
      <c r="G63">
        <f t="shared" si="1"/>
        <v>38415</v>
      </c>
    </row>
    <row r="64" spans="1:7" x14ac:dyDescent="0.25">
      <c r="A64" s="1">
        <v>38415</v>
      </c>
      <c r="B64">
        <v>8.9</v>
      </c>
      <c r="C64">
        <v>8.8000000000000007</v>
      </c>
      <c r="D64" s="2" t="str">
        <f t="shared" si="0"/>
        <v>2005/03/04 10:00:00</v>
      </c>
      <c r="F64" s="2" t="str">
        <v>2005/04/01 09:00:00</v>
      </c>
      <c r="G64">
        <f t="shared" si="1"/>
        <v>38443</v>
      </c>
    </row>
    <row r="65" spans="1:7" x14ac:dyDescent="0.25">
      <c r="A65" s="1">
        <v>38443</v>
      </c>
      <c r="B65">
        <v>8.8000000000000007</v>
      </c>
      <c r="C65">
        <v>8.9</v>
      </c>
      <c r="D65" s="2" t="str">
        <f t="shared" si="0"/>
        <v>2005/04/01 09:00:00</v>
      </c>
      <c r="F65" s="2" t="str">
        <v>2005/05/03 09:00:00</v>
      </c>
      <c r="G65">
        <f t="shared" si="1"/>
        <v>38475</v>
      </c>
    </row>
    <row r="66" spans="1:7" x14ac:dyDescent="0.25">
      <c r="A66" s="1">
        <v>38475</v>
      </c>
      <c r="B66">
        <v>8.9</v>
      </c>
      <c r="C66">
        <v>8.9</v>
      </c>
      <c r="D66" s="2" t="str">
        <f t="shared" ref="D66:D129" si="2">IFERROR(_xlfn.XLOOKUP(A66,$G:$G,$F:$F,""),"")</f>
        <v>2005/05/03 09:00:00</v>
      </c>
      <c r="F66" s="2" t="str">
        <v>2005/06/01 09:00:00</v>
      </c>
      <c r="G66">
        <f t="shared" ref="G66:G129" si="3">IFERROR(INT(F66),"")</f>
        <v>38504</v>
      </c>
    </row>
    <row r="67" spans="1:7" x14ac:dyDescent="0.25">
      <c r="A67" s="1">
        <v>38504</v>
      </c>
      <c r="B67">
        <v>8.9</v>
      </c>
      <c r="C67">
        <v>8.9</v>
      </c>
      <c r="D67" s="2" t="str">
        <f t="shared" si="2"/>
        <v>2005/06/01 09:00:00</v>
      </c>
      <c r="F67" s="2" t="str">
        <v>2005/07/01 09:00:00</v>
      </c>
      <c r="G67">
        <f t="shared" si="3"/>
        <v>38534</v>
      </c>
    </row>
    <row r="68" spans="1:7" x14ac:dyDescent="0.25">
      <c r="A68" s="1">
        <v>38534</v>
      </c>
      <c r="B68">
        <v>8.9</v>
      </c>
      <c r="C68">
        <v>8.8000000000000007</v>
      </c>
      <c r="D68" s="2" t="str">
        <f t="shared" si="2"/>
        <v>2005/07/01 09:00:00</v>
      </c>
      <c r="F68" s="2" t="str">
        <v>2005/08/02 09:00:00</v>
      </c>
      <c r="G68">
        <f t="shared" si="3"/>
        <v>38566</v>
      </c>
    </row>
    <row r="69" spans="1:7" x14ac:dyDescent="0.25">
      <c r="A69" s="1">
        <v>38566</v>
      </c>
      <c r="B69">
        <v>8.8000000000000007</v>
      </c>
      <c r="C69">
        <v>8.6999999999999993</v>
      </c>
      <c r="D69" s="2" t="str">
        <f t="shared" si="2"/>
        <v>2005/08/02 09:00:00</v>
      </c>
      <c r="F69" s="2" t="str">
        <v>2005/09/01 09:00:00</v>
      </c>
      <c r="G69">
        <f t="shared" si="3"/>
        <v>38596</v>
      </c>
    </row>
    <row r="70" spans="1:7" x14ac:dyDescent="0.25">
      <c r="A70" s="1">
        <v>38596</v>
      </c>
      <c r="B70">
        <v>8.6999999999999993</v>
      </c>
      <c r="C70">
        <v>8.6</v>
      </c>
      <c r="D70" s="2" t="str">
        <f t="shared" si="2"/>
        <v>2005/09/01 09:00:00</v>
      </c>
      <c r="F70" s="2" t="str">
        <v>2005/10/04 09:00:00</v>
      </c>
      <c r="G70">
        <f t="shared" si="3"/>
        <v>38629</v>
      </c>
    </row>
    <row r="71" spans="1:7" x14ac:dyDescent="0.25">
      <c r="A71" s="1">
        <v>38629</v>
      </c>
      <c r="B71">
        <v>8.6</v>
      </c>
      <c r="C71">
        <v>8.6</v>
      </c>
      <c r="D71" s="2" t="str">
        <f t="shared" si="2"/>
        <v>2005/10/04 09:00:00</v>
      </c>
      <c r="F71" s="2" t="str">
        <v>2005/11/04 10:00:00</v>
      </c>
      <c r="G71">
        <f t="shared" si="3"/>
        <v>38660</v>
      </c>
    </row>
    <row r="72" spans="1:7" x14ac:dyDescent="0.25">
      <c r="A72" s="1">
        <v>38660</v>
      </c>
      <c r="B72">
        <v>8.6</v>
      </c>
      <c r="C72">
        <v>8.4</v>
      </c>
      <c r="D72" s="2" t="str">
        <f t="shared" si="2"/>
        <v>2005/11/04 10:00:00</v>
      </c>
      <c r="F72" s="2" t="str">
        <v>2005/12/01 10:00:00</v>
      </c>
      <c r="G72">
        <f t="shared" si="3"/>
        <v>38687</v>
      </c>
    </row>
    <row r="73" spans="1:7" x14ac:dyDescent="0.25">
      <c r="A73" s="1">
        <v>38687</v>
      </c>
      <c r="B73">
        <v>8.4</v>
      </c>
      <c r="C73">
        <v>8.3000000000000007</v>
      </c>
      <c r="D73" s="2" t="str">
        <f t="shared" si="2"/>
        <v>2005/12/01 10:00:00</v>
      </c>
      <c r="F73" s="2" t="str">
        <v>2006/01/06 10:00:00</v>
      </c>
      <c r="G73">
        <f t="shared" si="3"/>
        <v>38723</v>
      </c>
    </row>
    <row r="74" spans="1:7" x14ac:dyDescent="0.25">
      <c r="A74" s="1">
        <v>38723</v>
      </c>
      <c r="B74">
        <v>8.3000000000000007</v>
      </c>
      <c r="C74">
        <v>8.3000000000000007</v>
      </c>
      <c r="D74" s="2" t="str">
        <f t="shared" si="2"/>
        <v>2006/01/06 10:00:00</v>
      </c>
      <c r="F74" s="2" t="str">
        <v>2006/02/01 10:00:00</v>
      </c>
      <c r="G74">
        <f t="shared" si="3"/>
        <v>38749</v>
      </c>
    </row>
    <row r="75" spans="1:7" x14ac:dyDescent="0.25">
      <c r="A75" s="1">
        <v>38749</v>
      </c>
      <c r="B75">
        <v>8.1999999999999993</v>
      </c>
      <c r="C75">
        <v>8.4</v>
      </c>
      <c r="D75" s="2" t="str">
        <f t="shared" si="2"/>
        <v>2006/02/01 10:00:00</v>
      </c>
      <c r="F75" s="2" t="str">
        <v>2006/03/01 10:00:00</v>
      </c>
      <c r="G75">
        <f t="shared" si="3"/>
        <v>38777</v>
      </c>
    </row>
    <row r="76" spans="1:7" x14ac:dyDescent="0.25">
      <c r="A76" s="1">
        <v>38777</v>
      </c>
      <c r="B76">
        <v>8.4</v>
      </c>
      <c r="C76">
        <v>8.3000000000000007</v>
      </c>
      <c r="D76" s="2" t="str">
        <f t="shared" si="2"/>
        <v>2006/03/01 10:00:00</v>
      </c>
      <c r="F76" s="2" t="str">
        <v>2006/04/04 09:00:00</v>
      </c>
      <c r="G76">
        <f t="shared" si="3"/>
        <v>38811</v>
      </c>
    </row>
    <row r="77" spans="1:7" x14ac:dyDescent="0.25">
      <c r="A77" s="1">
        <v>38811</v>
      </c>
      <c r="B77">
        <v>8.3000000000000007</v>
      </c>
      <c r="C77">
        <v>8.1999999999999993</v>
      </c>
      <c r="D77" s="2" t="str">
        <f t="shared" si="2"/>
        <v>2006/04/04 09:00:00</v>
      </c>
      <c r="F77" s="2" t="str">
        <v>2006/05/03 09:00:00</v>
      </c>
      <c r="G77">
        <f t="shared" si="3"/>
        <v>38840</v>
      </c>
    </row>
    <row r="78" spans="1:7" x14ac:dyDescent="0.25">
      <c r="A78" s="1">
        <v>38840</v>
      </c>
      <c r="B78">
        <v>8.1999999999999993</v>
      </c>
      <c r="C78">
        <v>8.1</v>
      </c>
      <c r="D78" s="2" t="str">
        <f t="shared" si="2"/>
        <v>2006/05/03 09:00:00</v>
      </c>
      <c r="F78" s="2" t="str">
        <v>2006/06/01 09:00:00</v>
      </c>
      <c r="G78">
        <f t="shared" si="3"/>
        <v>38869</v>
      </c>
    </row>
    <row r="79" spans="1:7" x14ac:dyDescent="0.25">
      <c r="A79" s="1">
        <v>38869</v>
      </c>
      <c r="B79">
        <v>8.1</v>
      </c>
      <c r="C79">
        <v>8</v>
      </c>
      <c r="D79" s="2" t="str">
        <f t="shared" si="2"/>
        <v>2006/06/01 09:00:00</v>
      </c>
      <c r="F79" s="2" t="str">
        <v>2006/07/03 09:00:00</v>
      </c>
      <c r="G79">
        <f t="shared" si="3"/>
        <v>38901</v>
      </c>
    </row>
    <row r="80" spans="1:7" x14ac:dyDescent="0.25">
      <c r="A80" s="1">
        <v>38901</v>
      </c>
      <c r="B80">
        <v>8</v>
      </c>
      <c r="C80">
        <v>7.9</v>
      </c>
      <c r="D80" s="2" t="str">
        <f t="shared" si="2"/>
        <v>2006/07/03 09:00:00</v>
      </c>
      <c r="F80" s="2" t="str">
        <v>2006/08/01 09:00:00</v>
      </c>
      <c r="G80">
        <f t="shared" si="3"/>
        <v>38930</v>
      </c>
    </row>
    <row r="81" spans="1:7" x14ac:dyDescent="0.25">
      <c r="A81" s="1">
        <v>38930</v>
      </c>
      <c r="B81">
        <v>7.9</v>
      </c>
      <c r="C81">
        <v>7.8</v>
      </c>
      <c r="D81" s="2" t="str">
        <f t="shared" si="2"/>
        <v>2006/08/01 09:00:00</v>
      </c>
      <c r="F81" s="2" t="str">
        <v>2006/09/01 09:00:00</v>
      </c>
      <c r="G81">
        <f t="shared" si="3"/>
        <v>38961</v>
      </c>
    </row>
    <row r="82" spans="1:7" x14ac:dyDescent="0.25">
      <c r="A82" s="1">
        <v>38961</v>
      </c>
      <c r="B82">
        <v>7.8</v>
      </c>
      <c r="C82">
        <v>7.8</v>
      </c>
      <c r="D82" s="2" t="str">
        <f t="shared" si="2"/>
        <v>2006/09/01 09:00:00</v>
      </c>
      <c r="F82" s="2" t="str">
        <v>2006/10/03 09:00:00</v>
      </c>
      <c r="G82">
        <f t="shared" si="3"/>
        <v>38993</v>
      </c>
    </row>
    <row r="83" spans="1:7" x14ac:dyDescent="0.25">
      <c r="A83" s="1">
        <v>38993</v>
      </c>
      <c r="B83">
        <v>7.8</v>
      </c>
      <c r="C83">
        <v>7.9</v>
      </c>
      <c r="D83" s="2" t="str">
        <f t="shared" si="2"/>
        <v>2006/10/03 09:00:00</v>
      </c>
      <c r="F83" s="2" t="str">
        <v>2006/11/03 10:00:00</v>
      </c>
      <c r="G83">
        <f t="shared" si="3"/>
        <v>39024</v>
      </c>
    </row>
    <row r="84" spans="1:7" x14ac:dyDescent="0.25">
      <c r="A84" s="1">
        <v>39024</v>
      </c>
      <c r="B84">
        <v>7.8</v>
      </c>
      <c r="C84">
        <v>7.8</v>
      </c>
      <c r="D84" s="2" t="str">
        <f t="shared" si="2"/>
        <v>2006/11/03 10:00:00</v>
      </c>
      <c r="F84" s="2" t="str">
        <v>2006/12/01 10:00:00</v>
      </c>
      <c r="G84">
        <f t="shared" si="3"/>
        <v>39052</v>
      </c>
    </row>
    <row r="85" spans="1:7" x14ac:dyDescent="0.25">
      <c r="A85" s="1">
        <v>39052</v>
      </c>
      <c r="B85">
        <v>7.8</v>
      </c>
      <c r="C85">
        <v>7.7</v>
      </c>
      <c r="D85" s="2" t="str">
        <f t="shared" si="2"/>
        <v>2006/12/01 10:00:00</v>
      </c>
      <c r="F85" s="2" t="str">
        <v>2007/01/05 10:00:00</v>
      </c>
      <c r="G85">
        <f t="shared" si="3"/>
        <v>39087</v>
      </c>
    </row>
    <row r="86" spans="1:7" x14ac:dyDescent="0.25">
      <c r="A86" s="1">
        <v>39087</v>
      </c>
      <c r="B86">
        <v>7.6</v>
      </c>
      <c r="C86">
        <v>7.6</v>
      </c>
      <c r="D86" s="2" t="str">
        <f t="shared" si="2"/>
        <v>2007/01/05 10:00:00</v>
      </c>
      <c r="F86" s="2" t="str">
        <v>2007/01/31 10:00:00</v>
      </c>
      <c r="G86">
        <f t="shared" si="3"/>
        <v>39113</v>
      </c>
    </row>
    <row r="87" spans="1:7" x14ac:dyDescent="0.25">
      <c r="A87" s="1">
        <v>39113</v>
      </c>
      <c r="B87">
        <v>7.6</v>
      </c>
      <c r="C87">
        <v>7.5</v>
      </c>
      <c r="D87" s="2" t="str">
        <f t="shared" si="2"/>
        <v>2007/01/31 10:00:00</v>
      </c>
      <c r="F87" s="2" t="str">
        <v>2007/02/28 10:00:00</v>
      </c>
      <c r="G87">
        <f t="shared" si="3"/>
        <v>39141</v>
      </c>
    </row>
    <row r="88" spans="1:7" x14ac:dyDescent="0.25">
      <c r="A88" s="1">
        <v>39141</v>
      </c>
      <c r="B88">
        <v>7.4</v>
      </c>
      <c r="C88">
        <v>7.4</v>
      </c>
      <c r="D88" s="2" t="str">
        <f t="shared" si="2"/>
        <v>2007/02/28 10:00:00</v>
      </c>
      <c r="F88" s="2" t="str">
        <v>2007/03/30 09:00:00</v>
      </c>
      <c r="G88">
        <f t="shared" si="3"/>
        <v>39171</v>
      </c>
    </row>
    <row r="89" spans="1:7" x14ac:dyDescent="0.25">
      <c r="A89" s="1">
        <v>39171</v>
      </c>
      <c r="B89">
        <v>7.3</v>
      </c>
      <c r="C89">
        <v>7.3</v>
      </c>
      <c r="D89" s="2" t="str">
        <f t="shared" si="2"/>
        <v>2007/03/30 09:00:00</v>
      </c>
      <c r="F89" s="2" t="str">
        <v>2007/05/02 09:00:00</v>
      </c>
      <c r="G89">
        <f t="shared" si="3"/>
        <v>39204</v>
      </c>
    </row>
    <row r="90" spans="1:7" x14ac:dyDescent="0.25">
      <c r="A90" s="1">
        <v>39204</v>
      </c>
      <c r="B90">
        <v>7.2</v>
      </c>
      <c r="C90">
        <v>7.2</v>
      </c>
      <c r="D90" s="2" t="str">
        <f t="shared" si="2"/>
        <v>2007/05/02 09:00:00</v>
      </c>
      <c r="F90" s="2" t="str">
        <v>2007/06/01 09:00:00</v>
      </c>
      <c r="G90">
        <f t="shared" si="3"/>
        <v>39234</v>
      </c>
    </row>
    <row r="91" spans="1:7" x14ac:dyDescent="0.25">
      <c r="A91" s="1">
        <v>39234</v>
      </c>
      <c r="B91">
        <v>7.2</v>
      </c>
      <c r="C91">
        <v>7.1</v>
      </c>
      <c r="D91" s="2" t="str">
        <f t="shared" si="2"/>
        <v>2007/06/01 09:00:00</v>
      </c>
      <c r="F91" s="2" t="str">
        <v>2007/07/03 09:00:00</v>
      </c>
      <c r="G91">
        <f t="shared" si="3"/>
        <v>39266</v>
      </c>
    </row>
    <row r="92" spans="1:7" x14ac:dyDescent="0.25">
      <c r="A92" s="1">
        <v>39266</v>
      </c>
      <c r="B92">
        <v>7</v>
      </c>
      <c r="C92">
        <v>7</v>
      </c>
      <c r="D92" s="2" t="str">
        <f t="shared" si="2"/>
        <v>2007/07/03 09:00:00</v>
      </c>
      <c r="F92" s="2" t="str">
        <v>2007/07/31 09:00:00</v>
      </c>
      <c r="G92">
        <f t="shared" si="3"/>
        <v>39294</v>
      </c>
    </row>
    <row r="93" spans="1:7" x14ac:dyDescent="0.25">
      <c r="A93" s="1">
        <v>39294</v>
      </c>
      <c r="B93">
        <v>7</v>
      </c>
      <c r="C93">
        <v>6.9</v>
      </c>
      <c r="D93" s="2" t="str">
        <f t="shared" si="2"/>
        <v>2007/07/31 09:00:00</v>
      </c>
      <c r="F93" s="2" t="str">
        <v>2007/08/31 09:00:00</v>
      </c>
      <c r="G93">
        <f t="shared" si="3"/>
        <v>39325</v>
      </c>
    </row>
    <row r="94" spans="1:7" x14ac:dyDescent="0.25">
      <c r="A94" s="1">
        <v>39325</v>
      </c>
      <c r="B94">
        <v>6.9</v>
      </c>
      <c r="C94">
        <v>6.9</v>
      </c>
      <c r="D94" s="2" t="str">
        <f t="shared" si="2"/>
        <v>2007/08/31 09:00:00</v>
      </c>
      <c r="F94" s="2" t="str">
        <v>2007/10/02 09:00:00</v>
      </c>
      <c r="G94">
        <f t="shared" si="3"/>
        <v>39357</v>
      </c>
    </row>
    <row r="95" spans="1:7" x14ac:dyDescent="0.25">
      <c r="A95" s="1">
        <v>39357</v>
      </c>
      <c r="B95">
        <v>6.9</v>
      </c>
      <c r="C95">
        <v>6.9</v>
      </c>
      <c r="D95" s="2" t="str">
        <f t="shared" si="2"/>
        <v>2007/10/02 09:00:00</v>
      </c>
      <c r="F95" s="2" t="str">
        <v>2007/10/31 10:00:00</v>
      </c>
      <c r="G95">
        <f t="shared" si="3"/>
        <v>39386</v>
      </c>
    </row>
    <row r="96" spans="1:7" x14ac:dyDescent="0.25">
      <c r="A96" s="1">
        <v>39386</v>
      </c>
      <c r="B96">
        <v>6.9</v>
      </c>
      <c r="C96">
        <v>7.3</v>
      </c>
      <c r="D96" s="2" t="str">
        <f t="shared" si="2"/>
        <v>2007/10/31 10:00:00</v>
      </c>
      <c r="F96" s="2" t="str">
        <v>2007/12/03 10:00:00</v>
      </c>
      <c r="G96">
        <f t="shared" si="3"/>
        <v>39419</v>
      </c>
    </row>
    <row r="97" spans="1:7" x14ac:dyDescent="0.25">
      <c r="A97" s="1">
        <v>39419</v>
      </c>
      <c r="B97">
        <v>7.3</v>
      </c>
      <c r="C97">
        <v>7.2</v>
      </c>
      <c r="D97" s="2" t="str">
        <f t="shared" si="2"/>
        <v>2007/12/03 10:00:00</v>
      </c>
      <c r="F97" s="2" t="str">
        <v>2008/01/07 10:00:00</v>
      </c>
      <c r="G97">
        <f t="shared" si="3"/>
        <v>39454</v>
      </c>
    </row>
    <row r="98" spans="1:7" x14ac:dyDescent="0.25">
      <c r="A98" s="1">
        <v>39454</v>
      </c>
      <c r="B98">
        <v>7.2</v>
      </c>
      <c r="C98">
        <v>7.2</v>
      </c>
      <c r="D98" s="2" t="str">
        <f t="shared" si="2"/>
        <v>2008/01/07 10:00:00</v>
      </c>
      <c r="F98" s="2" t="str">
        <v>2008/01/31 10:00:00</v>
      </c>
      <c r="G98">
        <f t="shared" si="3"/>
        <v>39478</v>
      </c>
    </row>
    <row r="99" spans="1:7" x14ac:dyDescent="0.25">
      <c r="A99" s="1">
        <v>39478</v>
      </c>
      <c r="B99">
        <v>7.1</v>
      </c>
      <c r="C99">
        <v>7.2</v>
      </c>
      <c r="D99" s="2" t="str">
        <f t="shared" si="2"/>
        <v>2008/01/31 10:00:00</v>
      </c>
      <c r="F99" s="2" t="str">
        <v>2008/02/29 10:00:00</v>
      </c>
      <c r="G99">
        <f t="shared" si="3"/>
        <v>39507</v>
      </c>
    </row>
    <row r="100" spans="1:7" x14ac:dyDescent="0.25">
      <c r="A100" s="1">
        <v>39507</v>
      </c>
      <c r="B100">
        <v>7.2</v>
      </c>
      <c r="C100">
        <v>7.1</v>
      </c>
      <c r="D100" s="2" t="str">
        <f t="shared" si="2"/>
        <v>2008/02/29 10:00:00</v>
      </c>
      <c r="F100" s="2" t="str">
        <v>2008/04/01 09:00:00</v>
      </c>
      <c r="G100">
        <f t="shared" si="3"/>
        <v>39539</v>
      </c>
    </row>
    <row r="101" spans="1:7" x14ac:dyDescent="0.25">
      <c r="A101" s="1">
        <v>39539</v>
      </c>
      <c r="B101">
        <v>7.1</v>
      </c>
      <c r="C101">
        <v>7.1</v>
      </c>
      <c r="D101" s="2" t="str">
        <f t="shared" si="2"/>
        <v>2008/04/01 09:00:00</v>
      </c>
      <c r="F101" s="2" t="str">
        <v>2008/04/30 09:00:00</v>
      </c>
      <c r="G101">
        <f t="shared" si="3"/>
        <v>39568</v>
      </c>
    </row>
    <row r="102" spans="1:7" x14ac:dyDescent="0.25">
      <c r="A102" s="1">
        <v>39568</v>
      </c>
      <c r="B102">
        <v>7.1</v>
      </c>
      <c r="C102">
        <v>7.1</v>
      </c>
      <c r="D102" s="2" t="str">
        <f t="shared" si="2"/>
        <v>2008/04/30 09:00:00</v>
      </c>
      <c r="F102" s="2" t="str">
        <v>2008/05/30 09:00:00</v>
      </c>
      <c r="G102">
        <f t="shared" si="3"/>
        <v>39598</v>
      </c>
    </row>
    <row r="103" spans="1:7" x14ac:dyDescent="0.25">
      <c r="A103" s="1">
        <v>39598</v>
      </c>
      <c r="B103">
        <v>7.1</v>
      </c>
      <c r="C103">
        <v>7.1</v>
      </c>
      <c r="D103" s="2" t="str">
        <f t="shared" si="2"/>
        <v>2008/05/30 09:00:00</v>
      </c>
      <c r="F103" s="2" t="str">
        <v>2008/07/01 09:00:00</v>
      </c>
      <c r="G103">
        <f t="shared" si="3"/>
        <v>39630</v>
      </c>
    </row>
    <row r="104" spans="1:7" x14ac:dyDescent="0.25">
      <c r="A104" s="1">
        <v>39630</v>
      </c>
      <c r="B104">
        <v>7.1</v>
      </c>
      <c r="C104">
        <v>7.2</v>
      </c>
      <c r="D104" s="2" t="str">
        <f t="shared" si="2"/>
        <v>2008/07/01 09:00:00</v>
      </c>
      <c r="F104" s="2" t="str">
        <v>2008/07/31 09:00:00</v>
      </c>
      <c r="G104">
        <f t="shared" si="3"/>
        <v>39660</v>
      </c>
    </row>
    <row r="105" spans="1:7" x14ac:dyDescent="0.25">
      <c r="A105" s="1">
        <v>39660</v>
      </c>
      <c r="B105">
        <v>7.2</v>
      </c>
      <c r="C105">
        <v>7.3</v>
      </c>
      <c r="D105" s="2" t="str">
        <f t="shared" si="2"/>
        <v>2008/07/31 09:00:00</v>
      </c>
      <c r="F105" s="2" t="str">
        <v>2008/08/29 09:00:00</v>
      </c>
      <c r="G105">
        <f t="shared" si="3"/>
        <v>39689</v>
      </c>
    </row>
    <row r="106" spans="1:7" x14ac:dyDescent="0.25">
      <c r="A106" s="1">
        <v>39689</v>
      </c>
      <c r="B106">
        <v>7.3</v>
      </c>
      <c r="C106">
        <v>7.3</v>
      </c>
      <c r="D106" s="2" t="str">
        <f t="shared" si="2"/>
        <v>2008/08/29 09:00:00</v>
      </c>
      <c r="F106" s="2" t="str">
        <v>2008/10/01 09:00:00</v>
      </c>
      <c r="G106">
        <f t="shared" si="3"/>
        <v>39722</v>
      </c>
    </row>
    <row r="107" spans="1:7" x14ac:dyDescent="0.25">
      <c r="A107" s="1">
        <v>39722</v>
      </c>
      <c r="B107">
        <v>7.3</v>
      </c>
      <c r="C107">
        <v>7.5</v>
      </c>
      <c r="D107" s="2" t="str">
        <f t="shared" si="2"/>
        <v>2008/10/01 09:00:00</v>
      </c>
      <c r="F107" s="2" t="str">
        <v>2008/10/31 10:00:00</v>
      </c>
      <c r="G107">
        <f t="shared" si="3"/>
        <v>39752</v>
      </c>
    </row>
    <row r="108" spans="1:7" x14ac:dyDescent="0.25">
      <c r="A108" s="1">
        <v>39752</v>
      </c>
      <c r="B108">
        <v>7.5</v>
      </c>
      <c r="C108">
        <v>7.5</v>
      </c>
      <c r="D108" s="2" t="str">
        <f t="shared" si="2"/>
        <v>2008/10/31 10:00:00</v>
      </c>
      <c r="F108" s="2" t="str">
        <v>2008/11/28 10:00:00</v>
      </c>
      <c r="G108">
        <f t="shared" si="3"/>
        <v>39780</v>
      </c>
    </row>
    <row r="109" spans="1:7" x14ac:dyDescent="0.25">
      <c r="A109" s="1">
        <v>39780</v>
      </c>
      <c r="B109">
        <v>7.6</v>
      </c>
      <c r="C109">
        <v>7.7</v>
      </c>
      <c r="D109" s="2" t="str">
        <f t="shared" si="2"/>
        <v>2008/11/28 10:00:00</v>
      </c>
      <c r="F109" s="2" t="str">
        <v>2009/01/08 10:00:00</v>
      </c>
      <c r="G109">
        <f t="shared" si="3"/>
        <v>39821</v>
      </c>
    </row>
    <row r="110" spans="1:7" x14ac:dyDescent="0.25">
      <c r="A110" s="1">
        <v>39821</v>
      </c>
      <c r="B110">
        <v>7.8</v>
      </c>
      <c r="C110">
        <v>7.8</v>
      </c>
      <c r="D110" s="2" t="str">
        <f t="shared" si="2"/>
        <v>2009/01/08 10:00:00</v>
      </c>
      <c r="F110" s="2" t="str">
        <v>2009/01/30 10:00:00</v>
      </c>
      <c r="G110">
        <f t="shared" si="3"/>
        <v>39843</v>
      </c>
    </row>
    <row r="111" spans="1:7" x14ac:dyDescent="0.25">
      <c r="A111" s="1">
        <v>39843</v>
      </c>
      <c r="B111">
        <v>7.9</v>
      </c>
      <c r="C111">
        <v>8</v>
      </c>
      <c r="D111" s="2" t="str">
        <f t="shared" si="2"/>
        <v>2009/01/30 10:00:00</v>
      </c>
      <c r="F111" s="2" t="str">
        <v>2009/02/27 10:00:00</v>
      </c>
      <c r="G111">
        <f t="shared" si="3"/>
        <v>39871</v>
      </c>
    </row>
    <row r="112" spans="1:7" x14ac:dyDescent="0.25">
      <c r="A112" s="1">
        <v>39871</v>
      </c>
      <c r="B112">
        <v>8.1</v>
      </c>
      <c r="C112">
        <v>8.1999999999999993</v>
      </c>
      <c r="D112" s="2" t="str">
        <f t="shared" si="2"/>
        <v>2009/02/27 10:00:00</v>
      </c>
      <c r="F112" s="2" t="str">
        <v>2009/04/01 09:00:00</v>
      </c>
      <c r="G112">
        <f t="shared" si="3"/>
        <v>39904</v>
      </c>
    </row>
    <row r="113" spans="1:7" x14ac:dyDescent="0.25">
      <c r="A113" s="1">
        <v>39904</v>
      </c>
      <c r="B113">
        <v>8.3000000000000007</v>
      </c>
      <c r="C113">
        <v>8.5</v>
      </c>
      <c r="D113" s="2" t="str">
        <f t="shared" si="2"/>
        <v>2009/04/01 09:00:00</v>
      </c>
      <c r="F113" s="2" t="str">
        <v>2009/04/30 09:00:00</v>
      </c>
      <c r="G113">
        <f t="shared" si="3"/>
        <v>39933</v>
      </c>
    </row>
    <row r="114" spans="1:7" x14ac:dyDescent="0.25">
      <c r="A114" s="1">
        <v>39933</v>
      </c>
      <c r="B114">
        <v>8.6999999999999993</v>
      </c>
      <c r="C114">
        <v>8.9</v>
      </c>
      <c r="D114" s="2" t="str">
        <f t="shared" si="2"/>
        <v>2009/04/30 09:00:00</v>
      </c>
      <c r="F114" s="2" t="str">
        <v>2009/06/02 09:00:00</v>
      </c>
      <c r="G114">
        <f t="shared" si="3"/>
        <v>39966</v>
      </c>
    </row>
    <row r="115" spans="1:7" x14ac:dyDescent="0.25">
      <c r="A115" s="1">
        <v>39966</v>
      </c>
      <c r="B115">
        <v>9.1</v>
      </c>
      <c r="C115">
        <v>9.1999999999999993</v>
      </c>
      <c r="D115" s="2" t="str">
        <f t="shared" si="2"/>
        <v>2009/06/02 09:00:00</v>
      </c>
      <c r="F115" s="2" t="str">
        <v>2009/07/02 09:00:00</v>
      </c>
      <c r="G115">
        <f t="shared" si="3"/>
        <v>39996</v>
      </c>
    </row>
    <row r="116" spans="1:7" x14ac:dyDescent="0.25">
      <c r="A116" s="1">
        <v>39996</v>
      </c>
      <c r="B116">
        <v>9.4</v>
      </c>
      <c r="C116">
        <v>9.5</v>
      </c>
      <c r="D116" s="2" t="str">
        <f t="shared" si="2"/>
        <v>2009/07/02 09:00:00</v>
      </c>
      <c r="F116" s="2" t="str">
        <v>2009/07/31 09:00:00</v>
      </c>
      <c r="G116">
        <f t="shared" si="3"/>
        <v>40025</v>
      </c>
    </row>
    <row r="117" spans="1:7" x14ac:dyDescent="0.25">
      <c r="A117" s="1">
        <v>40025</v>
      </c>
      <c r="B117">
        <v>9.6999999999999993</v>
      </c>
      <c r="C117">
        <v>9.4</v>
      </c>
      <c r="D117" s="2" t="str">
        <f t="shared" si="2"/>
        <v>2009/07/31 09:00:00</v>
      </c>
      <c r="F117" s="2" t="str">
        <v>2009/09/01 09:00:00</v>
      </c>
      <c r="G117">
        <f t="shared" si="3"/>
        <v>40057</v>
      </c>
    </row>
    <row r="118" spans="1:7" x14ac:dyDescent="0.25">
      <c r="A118" s="1">
        <v>40057</v>
      </c>
      <c r="B118">
        <v>9.5</v>
      </c>
      <c r="C118">
        <v>9.5</v>
      </c>
      <c r="D118" s="2" t="str">
        <f t="shared" si="2"/>
        <v>2009/09/01 09:00:00</v>
      </c>
      <c r="F118" s="2" t="str">
        <v>2009/10/01 09:00:00</v>
      </c>
      <c r="G118">
        <f t="shared" si="3"/>
        <v>40087</v>
      </c>
    </row>
    <row r="119" spans="1:7" x14ac:dyDescent="0.25">
      <c r="A119" s="1">
        <v>40087</v>
      </c>
      <c r="B119">
        <v>9.6</v>
      </c>
      <c r="C119">
        <v>9.6</v>
      </c>
      <c r="D119" s="2" t="str">
        <f t="shared" si="2"/>
        <v>2009/10/01 09:00:00</v>
      </c>
      <c r="F119" s="2" t="str">
        <v>2009/10/30 10:00:00</v>
      </c>
      <c r="G119">
        <f t="shared" si="3"/>
        <v>40116</v>
      </c>
    </row>
    <row r="120" spans="1:7" x14ac:dyDescent="0.25">
      <c r="A120" s="1">
        <v>40116</v>
      </c>
      <c r="B120">
        <v>9.6999999999999993</v>
      </c>
      <c r="C120">
        <v>9.6999999999999993</v>
      </c>
      <c r="D120" s="2" t="str">
        <f t="shared" si="2"/>
        <v>2009/10/30 10:00:00</v>
      </c>
      <c r="F120" s="2" t="str">
        <v>2009/12/01 10:00:00</v>
      </c>
      <c r="G120">
        <f t="shared" si="3"/>
        <v>40148</v>
      </c>
    </row>
    <row r="121" spans="1:7" x14ac:dyDescent="0.25">
      <c r="A121" s="1">
        <v>40148</v>
      </c>
      <c r="B121">
        <v>9.8000000000000007</v>
      </c>
      <c r="C121">
        <v>9.8000000000000007</v>
      </c>
      <c r="D121" s="2" t="str">
        <f t="shared" si="2"/>
        <v>2009/12/01 10:00:00</v>
      </c>
      <c r="F121" s="2" t="str">
        <v>2010/01/08 10:00:00</v>
      </c>
      <c r="G121">
        <f t="shared" si="3"/>
        <v>40186</v>
      </c>
    </row>
    <row r="122" spans="1:7" x14ac:dyDescent="0.25">
      <c r="A122" s="1">
        <v>40186</v>
      </c>
      <c r="B122">
        <v>9.9</v>
      </c>
      <c r="C122">
        <v>10</v>
      </c>
      <c r="D122" s="2" t="str">
        <f t="shared" si="2"/>
        <v>2010/01/08 10:00:00</v>
      </c>
      <c r="F122" s="2" t="str">
        <v>2010/01/29 10:00:00</v>
      </c>
      <c r="G122">
        <f t="shared" si="3"/>
        <v>40207</v>
      </c>
    </row>
    <row r="123" spans="1:7" x14ac:dyDescent="0.25">
      <c r="A123" s="1">
        <v>40207</v>
      </c>
      <c r="B123">
        <v>10.1</v>
      </c>
      <c r="C123">
        <v>10</v>
      </c>
      <c r="D123" s="2" t="str">
        <f t="shared" si="2"/>
        <v>2010/01/29 10:00:00</v>
      </c>
      <c r="F123" s="2" t="str">
        <v>2010/03/01 10:00:00</v>
      </c>
      <c r="G123">
        <f t="shared" si="3"/>
        <v>40238</v>
      </c>
    </row>
    <row r="124" spans="1:7" x14ac:dyDescent="0.25">
      <c r="A124" s="1">
        <v>40238</v>
      </c>
      <c r="B124">
        <v>10.1</v>
      </c>
      <c r="C124">
        <v>9.9</v>
      </c>
      <c r="D124" s="2" t="str">
        <f t="shared" si="2"/>
        <v>2010/03/01 10:00:00</v>
      </c>
      <c r="F124" s="2" t="str">
        <v>2010/03/31 09:00:00</v>
      </c>
      <c r="G124">
        <f t="shared" si="3"/>
        <v>40268</v>
      </c>
    </row>
    <row r="125" spans="1:7" x14ac:dyDescent="0.25">
      <c r="A125" s="1">
        <v>40268</v>
      </c>
      <c r="B125">
        <v>10</v>
      </c>
      <c r="C125">
        <v>10</v>
      </c>
      <c r="D125" s="2" t="str">
        <f t="shared" si="2"/>
        <v>2010/03/31 09:00:00</v>
      </c>
      <c r="F125" s="2" t="str">
        <v>2010/04/30 09:00:00</v>
      </c>
      <c r="G125">
        <f t="shared" si="3"/>
        <v>40298</v>
      </c>
    </row>
    <row r="126" spans="1:7" x14ac:dyDescent="0.25">
      <c r="A126" s="1">
        <v>40298</v>
      </c>
      <c r="B126">
        <v>10</v>
      </c>
      <c r="C126">
        <v>10</v>
      </c>
      <c r="D126" s="2" t="str">
        <f t="shared" si="2"/>
        <v>2010/04/30 09:00:00</v>
      </c>
      <c r="F126" s="2" t="str">
        <v>2010/06/01 09:00:00</v>
      </c>
      <c r="G126">
        <f t="shared" si="3"/>
        <v>40330</v>
      </c>
    </row>
    <row r="127" spans="1:7" x14ac:dyDescent="0.25">
      <c r="A127" s="1">
        <v>40330</v>
      </c>
      <c r="B127">
        <v>10</v>
      </c>
      <c r="C127">
        <v>10.1</v>
      </c>
      <c r="D127" s="2" t="str">
        <f t="shared" si="2"/>
        <v>2010/06/01 09:00:00</v>
      </c>
      <c r="F127" s="2" t="str">
        <v>2010/07/02 09:00:00</v>
      </c>
      <c r="G127">
        <f t="shared" si="3"/>
        <v>40361</v>
      </c>
    </row>
    <row r="128" spans="1:7" x14ac:dyDescent="0.25">
      <c r="A128" s="1">
        <v>40361</v>
      </c>
      <c r="B128">
        <v>10.1</v>
      </c>
      <c r="C128">
        <v>10</v>
      </c>
      <c r="D128" s="2" t="str">
        <f t="shared" si="2"/>
        <v>2010/07/02 09:00:00</v>
      </c>
      <c r="F128" s="2" t="str">
        <v>2010/07/30 09:00:00</v>
      </c>
      <c r="G128">
        <f t="shared" si="3"/>
        <v>40389</v>
      </c>
    </row>
    <row r="129" spans="1:7" x14ac:dyDescent="0.25">
      <c r="A129" s="1">
        <v>40389</v>
      </c>
      <c r="B129">
        <v>10</v>
      </c>
      <c r="C129">
        <v>10</v>
      </c>
      <c r="D129" s="2" t="str">
        <f t="shared" si="2"/>
        <v>2010/07/30 09:00:00</v>
      </c>
      <c r="F129" s="2" t="str">
        <v>2010/08/31 09:00:00</v>
      </c>
      <c r="G129">
        <f t="shared" si="3"/>
        <v>40421</v>
      </c>
    </row>
    <row r="130" spans="1:7" x14ac:dyDescent="0.25">
      <c r="A130" s="1">
        <v>40421</v>
      </c>
      <c r="B130">
        <v>10</v>
      </c>
      <c r="C130">
        <v>10</v>
      </c>
      <c r="D130" s="2" t="str">
        <f t="shared" ref="D130:D193" si="4">IFERROR(_xlfn.XLOOKUP(A130,$G:$G,$F:$F,""),"")</f>
        <v>2010/08/31 09:00:00</v>
      </c>
      <c r="F130" s="2" t="str">
        <v>2010/10/01 09:00:00</v>
      </c>
      <c r="G130">
        <f t="shared" ref="G130:G193" si="5">IFERROR(INT(F130),"")</f>
        <v>40452</v>
      </c>
    </row>
    <row r="131" spans="1:7" x14ac:dyDescent="0.25">
      <c r="A131" s="1">
        <v>40452</v>
      </c>
      <c r="B131">
        <v>10</v>
      </c>
      <c r="C131">
        <v>10.1</v>
      </c>
      <c r="D131" s="2" t="str">
        <f t="shared" si="4"/>
        <v>2010/10/01 09:00:00</v>
      </c>
      <c r="F131" s="2" t="str">
        <v>2010/10/29 09:00:00</v>
      </c>
      <c r="G131">
        <f t="shared" si="5"/>
        <v>40480</v>
      </c>
    </row>
    <row r="132" spans="1:7" x14ac:dyDescent="0.25">
      <c r="A132" s="1">
        <v>40480</v>
      </c>
      <c r="B132">
        <v>10.1</v>
      </c>
      <c r="C132">
        <v>10.1</v>
      </c>
      <c r="D132" s="2" t="str">
        <f t="shared" si="4"/>
        <v>2010/10/29 09:00:00</v>
      </c>
      <c r="F132" s="2" t="str">
        <v>2010/11/30 10:00:00</v>
      </c>
      <c r="G132">
        <f t="shared" si="5"/>
        <v>40512</v>
      </c>
    </row>
    <row r="133" spans="1:7" x14ac:dyDescent="0.25">
      <c r="A133" s="1">
        <v>40512</v>
      </c>
      <c r="B133">
        <v>10.1</v>
      </c>
      <c r="C133">
        <v>10.1</v>
      </c>
      <c r="D133" s="2" t="str">
        <f t="shared" si="4"/>
        <v>2010/11/30 10:00:00</v>
      </c>
      <c r="F133" s="2" t="str">
        <v>2011/01/07 10:00:00</v>
      </c>
      <c r="G133">
        <f t="shared" si="5"/>
        <v>40550</v>
      </c>
    </row>
    <row r="134" spans="1:7" x14ac:dyDescent="0.25">
      <c r="A134" s="1">
        <v>40550</v>
      </c>
      <c r="B134">
        <v>10.1</v>
      </c>
      <c r="C134">
        <v>10.1</v>
      </c>
      <c r="D134" s="2" t="str">
        <f t="shared" si="4"/>
        <v>2011/01/07 10:00:00</v>
      </c>
      <c r="F134" s="2" t="str">
        <v>2011/02/01 10:00:00</v>
      </c>
      <c r="G134">
        <f t="shared" si="5"/>
        <v>40575</v>
      </c>
    </row>
    <row r="135" spans="1:7" x14ac:dyDescent="0.25">
      <c r="A135" s="1">
        <v>40575</v>
      </c>
      <c r="B135">
        <v>10.1</v>
      </c>
      <c r="C135">
        <v>10</v>
      </c>
      <c r="D135" s="2" t="str">
        <f t="shared" si="4"/>
        <v>2011/02/01 10:00:00</v>
      </c>
      <c r="F135" s="2" t="str">
        <v>2011/03/01 10:00:00</v>
      </c>
      <c r="G135">
        <f t="shared" si="5"/>
        <v>40603</v>
      </c>
    </row>
    <row r="136" spans="1:7" x14ac:dyDescent="0.25">
      <c r="A136" s="1">
        <v>40603</v>
      </c>
      <c r="B136">
        <v>10</v>
      </c>
      <c r="C136">
        <v>9.9</v>
      </c>
      <c r="D136" s="2" t="str">
        <f t="shared" si="4"/>
        <v>2011/03/01 10:00:00</v>
      </c>
      <c r="F136" s="2" t="str">
        <v>2011/04/01 09:00:00</v>
      </c>
      <c r="G136">
        <f t="shared" si="5"/>
        <v>40634</v>
      </c>
    </row>
    <row r="137" spans="1:7" x14ac:dyDescent="0.25">
      <c r="A137" s="1">
        <v>40634</v>
      </c>
      <c r="B137">
        <v>9.9</v>
      </c>
      <c r="C137">
        <v>9.9</v>
      </c>
      <c r="D137" s="2" t="str">
        <f t="shared" si="4"/>
        <v>2011/04/01 09:00:00</v>
      </c>
      <c r="F137" s="2" t="str">
        <v>2011/04/29 09:00:00</v>
      </c>
      <c r="G137">
        <f t="shared" si="5"/>
        <v>40662</v>
      </c>
    </row>
    <row r="138" spans="1:7" x14ac:dyDescent="0.25">
      <c r="A138" s="1">
        <v>40662</v>
      </c>
      <c r="B138">
        <v>9.9</v>
      </c>
      <c r="C138">
        <v>9.9</v>
      </c>
      <c r="D138" s="2" t="str">
        <f t="shared" si="4"/>
        <v>2011/04/29 09:00:00</v>
      </c>
      <c r="F138" s="2" t="str">
        <v>2011/05/31 09:00:00</v>
      </c>
      <c r="G138">
        <f t="shared" si="5"/>
        <v>40694</v>
      </c>
    </row>
    <row r="139" spans="1:7" x14ac:dyDescent="0.25">
      <c r="A139" s="1">
        <v>40694</v>
      </c>
      <c r="B139">
        <v>9.9</v>
      </c>
      <c r="C139">
        <v>9.9</v>
      </c>
      <c r="D139" s="2" t="str">
        <f t="shared" si="4"/>
        <v>2011/05/31 09:00:00</v>
      </c>
      <c r="F139" s="2" t="str">
        <v>2011/07/01 09:00:00</v>
      </c>
      <c r="G139">
        <f t="shared" si="5"/>
        <v>40725</v>
      </c>
    </row>
    <row r="140" spans="1:7" x14ac:dyDescent="0.25">
      <c r="A140" s="1">
        <v>40725</v>
      </c>
      <c r="B140">
        <v>9.9</v>
      </c>
      <c r="C140">
        <v>9.9</v>
      </c>
      <c r="D140" s="2" t="str">
        <f t="shared" si="4"/>
        <v>2011/07/01 09:00:00</v>
      </c>
      <c r="F140" s="2" t="str">
        <v>2011/08/01 09:00:00</v>
      </c>
      <c r="G140">
        <f t="shared" si="5"/>
        <v>40756</v>
      </c>
    </row>
    <row r="141" spans="1:7" x14ac:dyDescent="0.25">
      <c r="A141" s="1">
        <v>40756</v>
      </c>
      <c r="B141">
        <v>9.9</v>
      </c>
      <c r="C141">
        <v>9.9</v>
      </c>
      <c r="D141" s="2" t="str">
        <f t="shared" si="4"/>
        <v>2011/08/01 09:00:00</v>
      </c>
      <c r="F141" s="2" t="str">
        <v>2011/08/31 09:00:00</v>
      </c>
      <c r="G141">
        <f t="shared" si="5"/>
        <v>40786</v>
      </c>
    </row>
    <row r="142" spans="1:7" x14ac:dyDescent="0.25">
      <c r="A142" s="1">
        <v>40786</v>
      </c>
      <c r="B142">
        <v>9.9</v>
      </c>
      <c r="C142">
        <v>10</v>
      </c>
      <c r="D142" s="2" t="str">
        <f t="shared" si="4"/>
        <v>2011/08/31 09:00:00</v>
      </c>
      <c r="F142" s="2" t="str">
        <v>2011/09/30 09:00:00</v>
      </c>
      <c r="G142">
        <f t="shared" si="5"/>
        <v>40816</v>
      </c>
    </row>
    <row r="143" spans="1:7" x14ac:dyDescent="0.25">
      <c r="A143" s="1">
        <v>40816</v>
      </c>
      <c r="B143">
        <v>10</v>
      </c>
      <c r="C143">
        <v>10</v>
      </c>
      <c r="D143" s="2" t="str">
        <f t="shared" si="4"/>
        <v>2011/09/30 09:00:00</v>
      </c>
      <c r="F143" s="2" t="str">
        <v>2011/10/31 10:00:00</v>
      </c>
      <c r="G143">
        <f t="shared" si="5"/>
        <v>40847</v>
      </c>
    </row>
    <row r="144" spans="1:7" x14ac:dyDescent="0.25">
      <c r="A144" s="1">
        <v>40847</v>
      </c>
      <c r="B144">
        <v>10</v>
      </c>
      <c r="C144">
        <v>10.199999999999999</v>
      </c>
      <c r="D144" s="2" t="str">
        <f t="shared" si="4"/>
        <v>2011/10/31 10:00:00</v>
      </c>
      <c r="F144" s="2" t="str">
        <v>2011/11/30 10:00:00</v>
      </c>
      <c r="G144">
        <f t="shared" si="5"/>
        <v>40877</v>
      </c>
    </row>
    <row r="145" spans="1:7" x14ac:dyDescent="0.25">
      <c r="A145" s="1">
        <v>40877</v>
      </c>
      <c r="B145">
        <v>10.199999999999999</v>
      </c>
      <c r="C145">
        <v>10.3</v>
      </c>
      <c r="D145" s="2" t="str">
        <f t="shared" si="4"/>
        <v>2011/11/30 10:00:00</v>
      </c>
      <c r="F145" s="2" t="str">
        <v>2012/01/06 10:00:00</v>
      </c>
      <c r="G145">
        <f t="shared" si="5"/>
        <v>40914</v>
      </c>
    </row>
    <row r="146" spans="1:7" x14ac:dyDescent="0.25">
      <c r="A146" s="1">
        <v>40914</v>
      </c>
      <c r="B146">
        <v>10.3</v>
      </c>
      <c r="C146">
        <v>10.3</v>
      </c>
      <c r="D146" s="2" t="str">
        <f t="shared" si="4"/>
        <v>2012/01/06 10:00:00</v>
      </c>
      <c r="F146" s="2" t="str">
        <v>2012/01/31 10:00:00</v>
      </c>
      <c r="G146">
        <f t="shared" si="5"/>
        <v>40939</v>
      </c>
    </row>
    <row r="147" spans="1:7" x14ac:dyDescent="0.25">
      <c r="A147" s="1">
        <v>40939</v>
      </c>
      <c r="B147">
        <v>10.4</v>
      </c>
      <c r="C147">
        <v>10.4</v>
      </c>
      <c r="D147" s="2" t="str">
        <f t="shared" si="4"/>
        <v>2012/01/31 10:00:00</v>
      </c>
      <c r="F147" s="2" t="str">
        <v>2012/03/01 10:00:00</v>
      </c>
      <c r="G147">
        <f t="shared" si="5"/>
        <v>40969</v>
      </c>
    </row>
    <row r="148" spans="1:7" x14ac:dyDescent="0.25">
      <c r="A148" s="1">
        <v>40969</v>
      </c>
      <c r="B148">
        <v>10.4</v>
      </c>
      <c r="C148">
        <v>10.7</v>
      </c>
      <c r="D148" s="2" t="str">
        <f t="shared" si="4"/>
        <v>2012/03/01 10:00:00</v>
      </c>
      <c r="F148" s="2" t="str">
        <v>2012/04/02 09:00:00</v>
      </c>
      <c r="G148">
        <f t="shared" si="5"/>
        <v>41001</v>
      </c>
    </row>
    <row r="149" spans="1:7" x14ac:dyDescent="0.25">
      <c r="A149" s="1">
        <v>41001</v>
      </c>
      <c r="B149">
        <v>10.8</v>
      </c>
      <c r="C149">
        <v>10.8</v>
      </c>
      <c r="D149" s="2" t="str">
        <f t="shared" si="4"/>
        <v>2012/04/02 09:00:00</v>
      </c>
      <c r="F149" s="2" t="str">
        <v>2012/05/02 09:00:00</v>
      </c>
      <c r="G149">
        <f t="shared" si="5"/>
        <v>41031</v>
      </c>
    </row>
    <row r="150" spans="1:7" x14ac:dyDescent="0.25">
      <c r="A150" s="1">
        <v>41031</v>
      </c>
      <c r="B150">
        <v>10.9</v>
      </c>
      <c r="C150">
        <v>10.9</v>
      </c>
      <c r="D150" s="2" t="str">
        <f t="shared" si="4"/>
        <v>2012/05/02 09:00:00</v>
      </c>
      <c r="F150" s="2" t="str">
        <v>2012/06/01 09:00:00</v>
      </c>
      <c r="G150">
        <f t="shared" si="5"/>
        <v>41061</v>
      </c>
    </row>
    <row r="151" spans="1:7" x14ac:dyDescent="0.25">
      <c r="A151" s="1">
        <v>41061</v>
      </c>
      <c r="B151">
        <v>11</v>
      </c>
      <c r="C151">
        <v>11</v>
      </c>
      <c r="D151" s="2" t="str">
        <f t="shared" si="4"/>
        <v>2012/06/01 09:00:00</v>
      </c>
      <c r="F151" s="2" t="str">
        <v>2012/07/02 09:00:00</v>
      </c>
      <c r="G151">
        <f t="shared" si="5"/>
        <v>41092</v>
      </c>
    </row>
    <row r="152" spans="1:7" x14ac:dyDescent="0.25">
      <c r="A152" s="1">
        <v>41092</v>
      </c>
      <c r="B152">
        <v>11.1</v>
      </c>
      <c r="C152">
        <v>11.1</v>
      </c>
      <c r="D152" s="2" t="str">
        <f t="shared" si="4"/>
        <v>2012/07/02 09:00:00</v>
      </c>
      <c r="F152" s="2" t="str">
        <v>2012/07/31 09:00:00</v>
      </c>
      <c r="G152">
        <f t="shared" si="5"/>
        <v>41121</v>
      </c>
    </row>
    <row r="153" spans="1:7" x14ac:dyDescent="0.25">
      <c r="A153" s="1">
        <v>41121</v>
      </c>
      <c r="B153">
        <v>11.2</v>
      </c>
      <c r="C153">
        <v>11.2</v>
      </c>
      <c r="D153" s="2" t="str">
        <f t="shared" si="4"/>
        <v>2012/07/31 09:00:00</v>
      </c>
      <c r="F153" s="2" t="str">
        <v>2012/08/31 09:00:00</v>
      </c>
      <c r="G153">
        <f t="shared" si="5"/>
        <v>41152</v>
      </c>
    </row>
    <row r="154" spans="1:7" x14ac:dyDescent="0.25">
      <c r="A154" s="1">
        <v>41152</v>
      </c>
      <c r="B154">
        <v>11.3</v>
      </c>
      <c r="C154">
        <v>11.3</v>
      </c>
      <c r="D154" s="2" t="str">
        <f t="shared" si="4"/>
        <v>2012/08/31 09:00:00</v>
      </c>
      <c r="F154" s="2" t="str">
        <v>2012/10/01 09:00:00</v>
      </c>
      <c r="G154">
        <f t="shared" si="5"/>
        <v>41183</v>
      </c>
    </row>
    <row r="155" spans="1:7" x14ac:dyDescent="0.25">
      <c r="A155" s="1">
        <v>41183</v>
      </c>
      <c r="B155">
        <v>11.4</v>
      </c>
      <c r="C155">
        <v>11.4</v>
      </c>
      <c r="D155" s="2" t="str">
        <f t="shared" si="4"/>
        <v>2012/10/01 09:00:00</v>
      </c>
      <c r="F155" s="2" t="str">
        <v>2012/10/31 10:00:00</v>
      </c>
      <c r="G155">
        <f t="shared" si="5"/>
        <v>41213</v>
      </c>
    </row>
    <row r="156" spans="1:7" x14ac:dyDescent="0.25">
      <c r="A156" s="1">
        <v>41213</v>
      </c>
      <c r="B156">
        <v>11.5</v>
      </c>
      <c r="C156">
        <v>11.6</v>
      </c>
      <c r="D156" s="2" t="str">
        <f t="shared" si="4"/>
        <v>2012/10/31 10:00:00</v>
      </c>
      <c r="F156" s="2" t="str">
        <v>2012/11/30 10:00:00</v>
      </c>
      <c r="G156">
        <f t="shared" si="5"/>
        <v>41243</v>
      </c>
    </row>
    <row r="157" spans="1:7" x14ac:dyDescent="0.25">
      <c r="A157" s="1">
        <v>41243</v>
      </c>
      <c r="B157">
        <v>11.7</v>
      </c>
      <c r="C157">
        <v>11.7</v>
      </c>
      <c r="D157" s="2" t="str">
        <f t="shared" si="4"/>
        <v>2012/11/30 10:00:00</v>
      </c>
      <c r="F157" s="2" t="str">
        <v>2013/01/08 10:00:00</v>
      </c>
      <c r="G157">
        <f t="shared" si="5"/>
        <v>41282</v>
      </c>
    </row>
    <row r="158" spans="1:7" x14ac:dyDescent="0.25">
      <c r="A158" s="1">
        <v>41282</v>
      </c>
      <c r="B158">
        <v>11.8</v>
      </c>
      <c r="C158">
        <v>11.8</v>
      </c>
      <c r="D158" s="2" t="str">
        <f t="shared" si="4"/>
        <v>2013/01/08 10:00:00</v>
      </c>
      <c r="F158" s="2" t="str">
        <v>2013/02/01 10:00:00</v>
      </c>
      <c r="G158">
        <f t="shared" si="5"/>
        <v>41306</v>
      </c>
    </row>
    <row r="159" spans="1:7" x14ac:dyDescent="0.25">
      <c r="A159" s="1">
        <v>41306</v>
      </c>
      <c r="B159">
        <v>11.9</v>
      </c>
      <c r="C159">
        <v>11.7</v>
      </c>
      <c r="D159" s="2" t="str">
        <f t="shared" si="4"/>
        <v>2013/02/01 10:00:00</v>
      </c>
      <c r="F159" s="2" t="str">
        <v>2013/03/01 10:00:00</v>
      </c>
      <c r="G159">
        <f t="shared" si="5"/>
        <v>41334</v>
      </c>
    </row>
    <row r="160" spans="1:7" x14ac:dyDescent="0.25">
      <c r="A160" s="1">
        <v>41334</v>
      </c>
      <c r="B160">
        <v>11.8</v>
      </c>
      <c r="C160">
        <v>11.9</v>
      </c>
      <c r="D160" s="2" t="str">
        <f t="shared" si="4"/>
        <v>2013/03/01 10:00:00</v>
      </c>
      <c r="F160" s="2" t="str">
        <v>2013/04/02 09:00:00</v>
      </c>
      <c r="G160">
        <f t="shared" si="5"/>
        <v>41366</v>
      </c>
    </row>
    <row r="161" spans="1:7" x14ac:dyDescent="0.25">
      <c r="A161" s="1">
        <v>41366</v>
      </c>
      <c r="B161">
        <v>12</v>
      </c>
      <c r="C161">
        <v>12</v>
      </c>
      <c r="D161" s="2" t="str">
        <f t="shared" si="4"/>
        <v>2013/04/02 09:00:00</v>
      </c>
      <c r="F161" s="2" t="str">
        <v>2013/04/30 09:00:00</v>
      </c>
      <c r="G161">
        <f t="shared" si="5"/>
        <v>41394</v>
      </c>
    </row>
    <row r="162" spans="1:7" x14ac:dyDescent="0.25">
      <c r="A162" s="1">
        <v>41394</v>
      </c>
      <c r="B162">
        <v>12.1</v>
      </c>
      <c r="C162">
        <v>12.1</v>
      </c>
      <c r="D162" s="2" t="str">
        <f t="shared" si="4"/>
        <v>2013/04/30 09:00:00</v>
      </c>
      <c r="F162" s="2" t="str">
        <v>2013/05/31 09:00:00</v>
      </c>
      <c r="G162">
        <f t="shared" si="5"/>
        <v>41425</v>
      </c>
    </row>
    <row r="163" spans="1:7" x14ac:dyDescent="0.25">
      <c r="A163" s="1">
        <v>41425</v>
      </c>
      <c r="B163">
        <v>12.2</v>
      </c>
      <c r="C163">
        <v>12.2</v>
      </c>
      <c r="D163" s="2" t="str">
        <f t="shared" si="4"/>
        <v>2013/05/31 09:00:00</v>
      </c>
      <c r="F163" s="2" t="str">
        <v>2013/07/01 09:00:00</v>
      </c>
      <c r="G163">
        <f t="shared" si="5"/>
        <v>41456</v>
      </c>
    </row>
    <row r="164" spans="1:7" x14ac:dyDescent="0.25">
      <c r="A164" s="1">
        <v>41456</v>
      </c>
      <c r="B164">
        <v>12.3</v>
      </c>
      <c r="C164">
        <v>12.2</v>
      </c>
      <c r="D164" s="2" t="str">
        <f t="shared" si="4"/>
        <v>2013/07/01 09:00:00</v>
      </c>
      <c r="F164" s="2" t="str">
        <v>2013/07/31 09:00:00</v>
      </c>
      <c r="G164">
        <f t="shared" si="5"/>
        <v>41486</v>
      </c>
    </row>
    <row r="165" spans="1:7" x14ac:dyDescent="0.25">
      <c r="A165" s="1">
        <v>41486</v>
      </c>
      <c r="B165">
        <v>12.2</v>
      </c>
      <c r="C165">
        <v>12.1</v>
      </c>
      <c r="D165" s="2" t="str">
        <f t="shared" si="4"/>
        <v>2013/07/31 09:00:00</v>
      </c>
      <c r="F165" s="2" t="str">
        <v>2013/08/30 09:00:00</v>
      </c>
      <c r="G165">
        <f t="shared" si="5"/>
        <v>41516</v>
      </c>
    </row>
    <row r="166" spans="1:7" x14ac:dyDescent="0.25">
      <c r="A166" s="1">
        <v>41516</v>
      </c>
      <c r="B166">
        <v>12.1</v>
      </c>
      <c r="C166">
        <v>12.1</v>
      </c>
      <c r="D166" s="2" t="str">
        <f t="shared" si="4"/>
        <v>2013/08/30 09:00:00</v>
      </c>
      <c r="F166" s="2" t="str">
        <v>2013/10/01 09:00:00</v>
      </c>
      <c r="G166">
        <f t="shared" si="5"/>
        <v>41548</v>
      </c>
    </row>
    <row r="167" spans="1:7" x14ac:dyDescent="0.25">
      <c r="A167" s="1">
        <v>41548</v>
      </c>
      <c r="B167">
        <v>12.1</v>
      </c>
      <c r="C167">
        <v>12</v>
      </c>
      <c r="D167" s="2" t="str">
        <f t="shared" si="4"/>
        <v>2013/10/01 09:00:00</v>
      </c>
      <c r="F167" s="2" t="str">
        <v>2013/10/31 10:00:00</v>
      </c>
      <c r="G167">
        <f t="shared" si="5"/>
        <v>41578</v>
      </c>
    </row>
    <row r="168" spans="1:7" x14ac:dyDescent="0.25">
      <c r="A168" s="1">
        <v>41578</v>
      </c>
      <c r="B168">
        <v>12</v>
      </c>
      <c r="C168">
        <v>12.2</v>
      </c>
      <c r="D168" s="2" t="str">
        <f t="shared" si="4"/>
        <v>2013/10/31 10:00:00</v>
      </c>
      <c r="F168" s="2" t="str">
        <v>2013/11/29 10:00:00</v>
      </c>
      <c r="G168">
        <f t="shared" si="5"/>
        <v>41607</v>
      </c>
    </row>
    <row r="169" spans="1:7" x14ac:dyDescent="0.25">
      <c r="A169" s="1">
        <v>41607</v>
      </c>
      <c r="B169">
        <v>12.2</v>
      </c>
      <c r="C169">
        <v>12.1</v>
      </c>
      <c r="D169" s="2" t="str">
        <f t="shared" si="4"/>
        <v>2013/11/29 10:00:00</v>
      </c>
      <c r="F169" s="2" t="str">
        <v>2014/01/08 10:00:00</v>
      </c>
      <c r="G169">
        <f t="shared" si="5"/>
        <v>41647</v>
      </c>
    </row>
    <row r="170" spans="1:7" x14ac:dyDescent="0.25">
      <c r="A170" s="1">
        <v>41647</v>
      </c>
      <c r="B170">
        <v>12.1</v>
      </c>
      <c r="C170">
        <v>12.1</v>
      </c>
      <c r="D170" s="2" t="str">
        <f t="shared" si="4"/>
        <v>2014/01/08 10:00:00</v>
      </c>
      <c r="F170" s="2" t="str">
        <v>2014/01/31 10:00:00</v>
      </c>
      <c r="G170">
        <f t="shared" si="5"/>
        <v>41670</v>
      </c>
    </row>
    <row r="171" spans="1:7" x14ac:dyDescent="0.25">
      <c r="A171" s="1">
        <v>41670</v>
      </c>
      <c r="B171">
        <v>12.1</v>
      </c>
      <c r="C171">
        <v>12</v>
      </c>
      <c r="D171" s="2" t="str">
        <f t="shared" si="4"/>
        <v>2014/01/31 10:00:00</v>
      </c>
      <c r="F171" s="2" t="str">
        <v>2014/02/28 10:00:00</v>
      </c>
      <c r="G171">
        <f t="shared" si="5"/>
        <v>41698</v>
      </c>
    </row>
    <row r="172" spans="1:7" x14ac:dyDescent="0.25">
      <c r="A172" s="1">
        <v>41698</v>
      </c>
      <c r="B172">
        <v>12</v>
      </c>
      <c r="C172">
        <v>12</v>
      </c>
      <c r="D172" s="2" t="str">
        <f t="shared" si="4"/>
        <v>2014/02/28 10:00:00</v>
      </c>
      <c r="F172" s="2" t="str">
        <v>2014/04/01 09:00:00</v>
      </c>
      <c r="G172">
        <f t="shared" si="5"/>
        <v>41730</v>
      </c>
    </row>
    <row r="173" spans="1:7" x14ac:dyDescent="0.25">
      <c r="A173" s="1">
        <v>41730</v>
      </c>
      <c r="B173">
        <v>12</v>
      </c>
      <c r="C173">
        <v>11.9</v>
      </c>
      <c r="D173" s="2" t="str">
        <f t="shared" si="4"/>
        <v>2014/04/01 09:00:00</v>
      </c>
      <c r="F173" s="2" t="str">
        <v>2014/05/02 09:00:00</v>
      </c>
      <c r="G173">
        <f t="shared" si="5"/>
        <v>41761</v>
      </c>
    </row>
    <row r="174" spans="1:7" x14ac:dyDescent="0.25">
      <c r="A174" s="1">
        <v>41761</v>
      </c>
      <c r="B174">
        <v>11.9</v>
      </c>
      <c r="C174">
        <v>11.8</v>
      </c>
      <c r="D174" s="2" t="str">
        <f t="shared" si="4"/>
        <v>2014/05/02 09:00:00</v>
      </c>
      <c r="F174" s="2" t="str">
        <v>2014/06/03 09:00:00</v>
      </c>
      <c r="G174">
        <f t="shared" si="5"/>
        <v>41793</v>
      </c>
    </row>
    <row r="175" spans="1:7" x14ac:dyDescent="0.25">
      <c r="A175" s="1">
        <v>41793</v>
      </c>
      <c r="B175">
        <v>11.8</v>
      </c>
      <c r="C175">
        <v>11.7</v>
      </c>
      <c r="D175" s="2" t="str">
        <f t="shared" si="4"/>
        <v>2014/06/03 09:00:00</v>
      </c>
      <c r="F175" s="2" t="str">
        <v>2014/07/01 09:00:00</v>
      </c>
      <c r="G175">
        <f t="shared" si="5"/>
        <v>41821</v>
      </c>
    </row>
    <row r="176" spans="1:7" x14ac:dyDescent="0.25">
      <c r="A176" s="1">
        <v>41821</v>
      </c>
      <c r="B176">
        <v>11.7</v>
      </c>
      <c r="C176">
        <v>11.6</v>
      </c>
      <c r="D176" s="2" t="str">
        <f t="shared" si="4"/>
        <v>2014/07/01 09:00:00</v>
      </c>
      <c r="F176" s="2" t="str">
        <v>2014/07/31 09:00:00</v>
      </c>
      <c r="G176">
        <f t="shared" si="5"/>
        <v>41851</v>
      </c>
    </row>
    <row r="177" spans="1:7" x14ac:dyDescent="0.25">
      <c r="A177" s="1">
        <v>41851</v>
      </c>
      <c r="B177">
        <v>11.6</v>
      </c>
      <c r="C177">
        <v>11.5</v>
      </c>
      <c r="D177" s="2" t="str">
        <f t="shared" si="4"/>
        <v>2014/07/31 09:00:00</v>
      </c>
      <c r="F177" s="2" t="str">
        <v>2014/08/29 09:00:00</v>
      </c>
      <c r="G177">
        <f t="shared" si="5"/>
        <v>41880</v>
      </c>
    </row>
    <row r="178" spans="1:7" x14ac:dyDescent="0.25">
      <c r="A178" s="1">
        <v>41880</v>
      </c>
      <c r="B178">
        <v>11.5</v>
      </c>
      <c r="C178">
        <v>11.5</v>
      </c>
      <c r="D178" s="2" t="str">
        <f t="shared" si="4"/>
        <v>2014/08/29 09:00:00</v>
      </c>
      <c r="F178" s="2" t="str">
        <v>2014/09/30 09:00:00</v>
      </c>
      <c r="G178">
        <f t="shared" si="5"/>
        <v>41912</v>
      </c>
    </row>
    <row r="179" spans="1:7" x14ac:dyDescent="0.25">
      <c r="A179" s="1">
        <v>41912</v>
      </c>
      <c r="B179">
        <v>11.5</v>
      </c>
      <c r="C179">
        <v>11.5</v>
      </c>
      <c r="D179" s="2" t="str">
        <f t="shared" si="4"/>
        <v>2014/09/30 09:00:00</v>
      </c>
      <c r="F179" s="2" t="str">
        <v>2014/10/31 10:00:00</v>
      </c>
      <c r="G179">
        <f t="shared" si="5"/>
        <v>41943</v>
      </c>
    </row>
    <row r="180" spans="1:7" x14ac:dyDescent="0.25">
      <c r="A180" s="1">
        <v>41943</v>
      </c>
      <c r="B180">
        <v>11.5</v>
      </c>
      <c r="C180">
        <v>11.5</v>
      </c>
      <c r="D180" s="2" t="str">
        <f t="shared" si="4"/>
        <v>2014/10/31 10:00:00</v>
      </c>
      <c r="F180" s="2" t="str">
        <v>2014/11/28 10:00:00</v>
      </c>
      <c r="G180">
        <f t="shared" si="5"/>
        <v>41971</v>
      </c>
    </row>
    <row r="181" spans="1:7" x14ac:dyDescent="0.25">
      <c r="A181" s="1">
        <v>41971</v>
      </c>
      <c r="B181">
        <v>11.5</v>
      </c>
      <c r="C181">
        <v>11.5</v>
      </c>
      <c r="D181" s="2" t="str">
        <f t="shared" si="4"/>
        <v>2014/11/28 10:00:00</v>
      </c>
      <c r="F181" s="2" t="str">
        <v>2015/01/07 10:00:00</v>
      </c>
      <c r="G181">
        <f t="shared" si="5"/>
        <v>42011</v>
      </c>
    </row>
    <row r="182" spans="1:7" x14ac:dyDescent="0.25">
      <c r="A182" s="1">
        <v>42011</v>
      </c>
      <c r="B182">
        <v>11.5</v>
      </c>
      <c r="C182">
        <v>11.5</v>
      </c>
      <c r="D182" s="2" t="str">
        <f t="shared" si="4"/>
        <v>2015/01/07 10:00:00</v>
      </c>
      <c r="F182" s="2" t="str">
        <v>2015/01/30 10:00:00</v>
      </c>
      <c r="G182">
        <f t="shared" si="5"/>
        <v>42034</v>
      </c>
    </row>
    <row r="183" spans="1:7" x14ac:dyDescent="0.25">
      <c r="A183" s="1">
        <v>42034</v>
      </c>
      <c r="B183">
        <v>11.5</v>
      </c>
      <c r="C183">
        <v>11.4</v>
      </c>
      <c r="D183" s="2" t="str">
        <f t="shared" si="4"/>
        <v>2015/01/30 10:00:00</v>
      </c>
      <c r="F183" s="2" t="str">
        <v>2015/03/02 10:00:00</v>
      </c>
      <c r="G183">
        <f t="shared" si="5"/>
        <v>42065</v>
      </c>
    </row>
    <row r="184" spans="1:7" x14ac:dyDescent="0.25">
      <c r="A184" s="1">
        <v>42065</v>
      </c>
      <c r="B184">
        <v>11.4</v>
      </c>
      <c r="C184">
        <v>11.2</v>
      </c>
      <c r="D184" s="2" t="str">
        <f t="shared" si="4"/>
        <v>2015/03/02 10:00:00</v>
      </c>
      <c r="F184" s="2" t="str">
        <v>2015/03/31 09:00:00</v>
      </c>
      <c r="G184">
        <f t="shared" si="5"/>
        <v>42094</v>
      </c>
    </row>
    <row r="185" spans="1:7" x14ac:dyDescent="0.25">
      <c r="A185" s="1">
        <v>42094</v>
      </c>
      <c r="B185">
        <v>11.2</v>
      </c>
      <c r="C185">
        <v>11.3</v>
      </c>
      <c r="D185" s="2" t="str">
        <f t="shared" si="4"/>
        <v>2015/03/31 09:00:00</v>
      </c>
      <c r="F185" s="2" t="str">
        <v>2015/04/30 09:00:00</v>
      </c>
      <c r="G185">
        <f t="shared" si="5"/>
        <v>42124</v>
      </c>
    </row>
    <row r="186" spans="1:7" x14ac:dyDescent="0.25">
      <c r="A186" s="1">
        <v>42124</v>
      </c>
      <c r="B186">
        <v>11.2</v>
      </c>
      <c r="C186">
        <v>11.3</v>
      </c>
      <c r="D186" s="2" t="str">
        <f t="shared" si="4"/>
        <v>2015/04/30 09:00:00</v>
      </c>
      <c r="F186" s="2" t="str">
        <v>2015/06/03 09:00:00</v>
      </c>
      <c r="G186">
        <f t="shared" si="5"/>
        <v>42158</v>
      </c>
    </row>
    <row r="187" spans="1:7" x14ac:dyDescent="0.25">
      <c r="A187" s="1">
        <v>42158</v>
      </c>
      <c r="B187">
        <v>11.2</v>
      </c>
      <c r="C187">
        <v>11.1</v>
      </c>
      <c r="D187" s="2" t="str">
        <f t="shared" si="4"/>
        <v>2015/06/03 09:00:00</v>
      </c>
      <c r="F187" s="2" t="str">
        <v>2015/06/30 09:00:00</v>
      </c>
      <c r="G187">
        <f t="shared" si="5"/>
        <v>42185</v>
      </c>
    </row>
    <row r="188" spans="1:7" x14ac:dyDescent="0.25">
      <c r="A188" s="1">
        <v>42185</v>
      </c>
      <c r="B188">
        <v>11.1</v>
      </c>
      <c r="C188">
        <v>11.1</v>
      </c>
      <c r="D188" s="2" t="str">
        <f t="shared" si="4"/>
        <v>2015/06/30 09:00:00</v>
      </c>
      <c r="F188" s="2" t="str">
        <v>2015/07/31 09:00:00</v>
      </c>
      <c r="G188">
        <f t="shared" si="5"/>
        <v>42216</v>
      </c>
    </row>
    <row r="189" spans="1:7" x14ac:dyDescent="0.25">
      <c r="A189" s="1">
        <v>42216</v>
      </c>
      <c r="B189">
        <v>11</v>
      </c>
      <c r="C189">
        <v>11.1</v>
      </c>
      <c r="D189" s="2" t="str">
        <f t="shared" si="4"/>
        <v>2015/07/31 09:00:00</v>
      </c>
      <c r="F189" s="2" t="str">
        <v>2015/09/01 09:00:00</v>
      </c>
      <c r="G189">
        <f t="shared" si="5"/>
        <v>42248</v>
      </c>
    </row>
    <row r="190" spans="1:7" x14ac:dyDescent="0.25">
      <c r="A190" s="1">
        <v>42248</v>
      </c>
      <c r="B190">
        <v>11.1</v>
      </c>
      <c r="C190">
        <v>10.9</v>
      </c>
      <c r="D190" s="2" t="str">
        <f t="shared" si="4"/>
        <v>2015/09/01 09:00:00</v>
      </c>
      <c r="F190" s="2" t="str">
        <v>2015/09/30 09:00:00</v>
      </c>
      <c r="G190">
        <f t="shared" si="5"/>
        <v>42277</v>
      </c>
    </row>
    <row r="191" spans="1:7" x14ac:dyDescent="0.25">
      <c r="A191" s="1">
        <v>42277</v>
      </c>
      <c r="B191">
        <v>10.9</v>
      </c>
      <c r="C191">
        <v>11</v>
      </c>
      <c r="D191" s="2" t="str">
        <f t="shared" si="4"/>
        <v>2015/09/30 09:00:00</v>
      </c>
      <c r="F191" s="2" t="str">
        <v>2015/10/30 10:00:00</v>
      </c>
      <c r="G191">
        <f t="shared" si="5"/>
        <v>42307</v>
      </c>
    </row>
    <row r="192" spans="1:7" x14ac:dyDescent="0.25">
      <c r="A192" s="1">
        <v>42307</v>
      </c>
      <c r="B192">
        <v>11</v>
      </c>
      <c r="C192">
        <v>10.8</v>
      </c>
      <c r="D192" s="2" t="str">
        <f t="shared" si="4"/>
        <v>2015/10/30 10:00:00</v>
      </c>
      <c r="F192" s="2" t="str">
        <v>2015/12/01 10:00:00</v>
      </c>
      <c r="G192">
        <f t="shared" si="5"/>
        <v>42339</v>
      </c>
    </row>
    <row r="193" spans="1:7" x14ac:dyDescent="0.25">
      <c r="A193" s="1">
        <v>42339</v>
      </c>
      <c r="B193">
        <v>10.8</v>
      </c>
      <c r="C193">
        <v>10.7</v>
      </c>
      <c r="D193" s="2" t="str">
        <f t="shared" si="4"/>
        <v>2015/12/01 10:00:00</v>
      </c>
      <c r="F193" s="2" t="str">
        <v>2016/01/07 10:00:00</v>
      </c>
      <c r="G193">
        <f t="shared" si="5"/>
        <v>42376</v>
      </c>
    </row>
    <row r="194" spans="1:7" x14ac:dyDescent="0.25">
      <c r="A194" s="1">
        <v>42376</v>
      </c>
      <c r="B194">
        <v>10.7</v>
      </c>
      <c r="C194">
        <v>10.5</v>
      </c>
      <c r="D194" s="2" t="str">
        <f t="shared" ref="D194:D257" si="6">IFERROR(_xlfn.XLOOKUP(A194,$G:$G,$F:$F,""),"")</f>
        <v>2016/01/07 10:00:00</v>
      </c>
      <c r="F194" s="2" t="str">
        <v>2016/02/02 10:00:00</v>
      </c>
      <c r="G194">
        <f t="shared" ref="G194:G257" si="7">IFERROR(INT(F194),"")</f>
        <v>42402</v>
      </c>
    </row>
    <row r="195" spans="1:7" x14ac:dyDescent="0.25">
      <c r="A195" s="1">
        <v>42402</v>
      </c>
      <c r="B195">
        <v>10.5</v>
      </c>
      <c r="C195">
        <v>10.4</v>
      </c>
      <c r="D195" s="2" t="str">
        <f t="shared" si="6"/>
        <v>2016/02/02 10:00:00</v>
      </c>
      <c r="F195" s="2" t="str">
        <v>2016/03/01 10:00:00</v>
      </c>
      <c r="G195">
        <f t="shared" si="7"/>
        <v>42430</v>
      </c>
    </row>
    <row r="196" spans="1:7" x14ac:dyDescent="0.25">
      <c r="A196" s="1">
        <v>42430</v>
      </c>
      <c r="B196">
        <v>10.4</v>
      </c>
      <c r="C196">
        <v>10.3</v>
      </c>
      <c r="D196" s="2" t="str">
        <f t="shared" si="6"/>
        <v>2016/03/01 10:00:00</v>
      </c>
      <c r="F196" s="2" t="str">
        <v>2016/04/04 09:00:00</v>
      </c>
      <c r="G196">
        <f t="shared" si="7"/>
        <v>42464</v>
      </c>
    </row>
    <row r="197" spans="1:7" x14ac:dyDescent="0.25">
      <c r="A197" s="1">
        <v>42464</v>
      </c>
      <c r="B197">
        <v>10.3</v>
      </c>
      <c r="C197">
        <v>10.3</v>
      </c>
      <c r="D197" s="2" t="str">
        <f t="shared" si="6"/>
        <v>2016/04/04 09:00:00</v>
      </c>
      <c r="F197" s="2" t="str">
        <v>2016/04/29 09:00:00</v>
      </c>
      <c r="G197">
        <f t="shared" si="7"/>
        <v>42489</v>
      </c>
    </row>
    <row r="198" spans="1:7" x14ac:dyDescent="0.25">
      <c r="A198" s="1">
        <v>42489</v>
      </c>
      <c r="B198">
        <v>10.3</v>
      </c>
      <c r="C198">
        <v>10.199999999999999</v>
      </c>
      <c r="D198" s="2" t="str">
        <f t="shared" si="6"/>
        <v>2016/04/29 09:00:00</v>
      </c>
      <c r="F198" s="2" t="str">
        <v>2016/05/31 09:00:00</v>
      </c>
      <c r="G198">
        <f t="shared" si="7"/>
        <v>42521</v>
      </c>
    </row>
    <row r="199" spans="1:7" x14ac:dyDescent="0.25">
      <c r="A199" s="1">
        <v>42521</v>
      </c>
      <c r="B199">
        <v>10.199999999999999</v>
      </c>
      <c r="C199">
        <v>10.199999999999999</v>
      </c>
      <c r="D199" s="2" t="str">
        <f t="shared" si="6"/>
        <v>2016/05/31 09:00:00</v>
      </c>
      <c r="F199" s="2" t="str">
        <v>2016/07/01 09:00:00</v>
      </c>
      <c r="G199">
        <f t="shared" si="7"/>
        <v>42552</v>
      </c>
    </row>
    <row r="200" spans="1:7" x14ac:dyDescent="0.25">
      <c r="A200" s="1">
        <v>42552</v>
      </c>
      <c r="B200">
        <v>10.1</v>
      </c>
      <c r="C200">
        <v>10.1</v>
      </c>
      <c r="D200" s="2" t="str">
        <f t="shared" si="6"/>
        <v>2016/07/01 09:00:00</v>
      </c>
      <c r="F200" s="2" t="str">
        <v>2016/07/29 09:00:00</v>
      </c>
      <c r="G200">
        <f t="shared" si="7"/>
        <v>42580</v>
      </c>
    </row>
    <row r="201" spans="1:7" x14ac:dyDescent="0.25">
      <c r="A201" s="1">
        <v>42580</v>
      </c>
      <c r="B201">
        <v>10.1</v>
      </c>
      <c r="C201">
        <v>10.1</v>
      </c>
      <c r="D201" s="2" t="str">
        <f t="shared" si="6"/>
        <v>2016/07/29 09:00:00</v>
      </c>
      <c r="F201" s="2" t="str">
        <v>2016/08/31 09:00:00</v>
      </c>
      <c r="G201">
        <f t="shared" si="7"/>
        <v>42613</v>
      </c>
    </row>
    <row r="202" spans="1:7" x14ac:dyDescent="0.25">
      <c r="A202" s="1">
        <v>42613</v>
      </c>
      <c r="B202">
        <v>10</v>
      </c>
      <c r="C202">
        <v>10.1</v>
      </c>
      <c r="D202" s="2" t="str">
        <f t="shared" si="6"/>
        <v>2016/08/31 09:00:00</v>
      </c>
      <c r="F202" s="2" t="str">
        <v>2016/09/30 09:00:00</v>
      </c>
      <c r="G202">
        <f t="shared" si="7"/>
        <v>42643</v>
      </c>
    </row>
    <row r="203" spans="1:7" x14ac:dyDescent="0.25">
      <c r="A203" s="1">
        <v>42643</v>
      </c>
      <c r="B203">
        <v>10</v>
      </c>
      <c r="C203">
        <v>10.1</v>
      </c>
      <c r="D203" s="2" t="str">
        <f t="shared" si="6"/>
        <v>2016/09/30 09:00:00</v>
      </c>
      <c r="F203" s="2" t="str">
        <v>2016/11/03 10:00:00</v>
      </c>
      <c r="G203">
        <f t="shared" si="7"/>
        <v>42677</v>
      </c>
    </row>
    <row r="204" spans="1:7" x14ac:dyDescent="0.25">
      <c r="A204" s="1">
        <v>42677</v>
      </c>
      <c r="B204">
        <v>10</v>
      </c>
      <c r="C204">
        <v>10</v>
      </c>
      <c r="D204" s="2" t="str">
        <f t="shared" si="6"/>
        <v>2016/11/03 10:00:00</v>
      </c>
      <c r="F204" s="2" t="str">
        <v>2016/12/01 10:00:00</v>
      </c>
      <c r="G204">
        <f t="shared" si="7"/>
        <v>42705</v>
      </c>
    </row>
    <row r="205" spans="1:7" x14ac:dyDescent="0.25">
      <c r="A205" s="1">
        <v>42705</v>
      </c>
      <c r="B205">
        <v>10</v>
      </c>
      <c r="C205">
        <v>9.8000000000000007</v>
      </c>
      <c r="D205" s="2" t="str">
        <f t="shared" si="6"/>
        <v>2016/12/01 10:00:00</v>
      </c>
      <c r="F205" s="2" t="str">
        <v>2017/01/09 10:00:00</v>
      </c>
      <c r="G205">
        <f t="shared" si="7"/>
        <v>42744</v>
      </c>
    </row>
    <row r="206" spans="1:7" x14ac:dyDescent="0.25">
      <c r="A206" s="1">
        <v>42744</v>
      </c>
      <c r="B206">
        <v>9.8000000000000007</v>
      </c>
      <c r="C206">
        <v>9.8000000000000007</v>
      </c>
      <c r="D206" s="2" t="str">
        <f t="shared" si="6"/>
        <v>2017/01/09 10:00:00</v>
      </c>
      <c r="F206" s="2" t="str">
        <v>2017/01/31 10:00:00</v>
      </c>
      <c r="G206">
        <f t="shared" si="7"/>
        <v>42766</v>
      </c>
    </row>
    <row r="207" spans="1:7" x14ac:dyDescent="0.25">
      <c r="A207" s="1">
        <v>42766</v>
      </c>
      <c r="B207">
        <v>9.8000000000000007</v>
      </c>
      <c r="C207">
        <v>9.6</v>
      </c>
      <c r="D207" s="2" t="str">
        <f t="shared" si="6"/>
        <v>2017/01/31 10:00:00</v>
      </c>
      <c r="F207" s="2" t="str">
        <v>2017/03/02 10:00:00</v>
      </c>
      <c r="G207">
        <f t="shared" si="7"/>
        <v>42796</v>
      </c>
    </row>
    <row r="208" spans="1:7" x14ac:dyDescent="0.25">
      <c r="A208" s="1">
        <v>42796</v>
      </c>
      <c r="B208">
        <v>9.6</v>
      </c>
      <c r="C208">
        <v>9.6</v>
      </c>
      <c r="D208" s="2" t="str">
        <f t="shared" si="6"/>
        <v>2017/03/02 10:00:00</v>
      </c>
      <c r="F208" s="2" t="str">
        <v>2017/04/03 09:00:00</v>
      </c>
      <c r="G208">
        <f t="shared" si="7"/>
        <v>42828</v>
      </c>
    </row>
    <row r="209" spans="1:7" x14ac:dyDescent="0.25">
      <c r="A209" s="1">
        <v>42828</v>
      </c>
      <c r="B209">
        <v>9.5</v>
      </c>
      <c r="C209">
        <v>9.5</v>
      </c>
      <c r="D209" s="2" t="str">
        <f t="shared" si="6"/>
        <v>2017/04/03 09:00:00</v>
      </c>
      <c r="F209" s="2" t="str">
        <v>2017/05/02 09:00:00</v>
      </c>
      <c r="G209">
        <f t="shared" si="7"/>
        <v>42857</v>
      </c>
    </row>
    <row r="210" spans="1:7" x14ac:dyDescent="0.25">
      <c r="A210" s="1">
        <v>42857</v>
      </c>
      <c r="B210">
        <v>9.4</v>
      </c>
      <c r="C210">
        <v>9.5</v>
      </c>
      <c r="D210" s="2" t="str">
        <f t="shared" si="6"/>
        <v>2017/05/02 09:00:00</v>
      </c>
      <c r="F210" s="2" t="str">
        <v>2017/05/31 09:00:00</v>
      </c>
      <c r="G210">
        <f t="shared" si="7"/>
        <v>42886</v>
      </c>
    </row>
    <row r="211" spans="1:7" x14ac:dyDescent="0.25">
      <c r="A211" s="1">
        <v>42886</v>
      </c>
      <c r="B211">
        <v>9.4</v>
      </c>
      <c r="C211">
        <v>9.3000000000000007</v>
      </c>
      <c r="D211" s="2" t="str">
        <f t="shared" si="6"/>
        <v>2017/05/31 09:00:00</v>
      </c>
      <c r="F211" s="2" t="str">
        <v>2017/07/03 09:00:00</v>
      </c>
      <c r="G211">
        <f t="shared" si="7"/>
        <v>42919</v>
      </c>
    </row>
    <row r="212" spans="1:7" x14ac:dyDescent="0.25">
      <c r="A212" s="1">
        <v>42919</v>
      </c>
      <c r="B212">
        <v>9.3000000000000007</v>
      </c>
      <c r="C212">
        <v>9.3000000000000007</v>
      </c>
      <c r="D212" s="2" t="str">
        <f t="shared" si="6"/>
        <v>2017/07/03 09:00:00</v>
      </c>
      <c r="F212" s="2" t="str">
        <v>2017/07/31 09:00:00</v>
      </c>
      <c r="G212">
        <f t="shared" si="7"/>
        <v>42947</v>
      </c>
    </row>
    <row r="213" spans="1:7" x14ac:dyDescent="0.25">
      <c r="A213" s="1">
        <v>42947</v>
      </c>
      <c r="B213">
        <v>9.1999999999999993</v>
      </c>
      <c r="C213">
        <v>9.1</v>
      </c>
      <c r="D213" s="2" t="str">
        <f t="shared" si="6"/>
        <v>2017/07/31 09:00:00</v>
      </c>
      <c r="F213" s="2" t="str">
        <v>2017/08/31 09:00:00</v>
      </c>
      <c r="G213">
        <f t="shared" si="7"/>
        <v>42978</v>
      </c>
    </row>
    <row r="214" spans="1:7" x14ac:dyDescent="0.25">
      <c r="A214" s="1">
        <v>42978</v>
      </c>
      <c r="B214">
        <v>9.1</v>
      </c>
      <c r="C214">
        <v>9.1</v>
      </c>
      <c r="D214" s="2" t="str">
        <f t="shared" si="6"/>
        <v>2017/08/31 09:00:00</v>
      </c>
      <c r="F214" s="2" t="str">
        <v>2017/10/02 09:00:00</v>
      </c>
      <c r="G214">
        <f t="shared" si="7"/>
        <v>43010</v>
      </c>
    </row>
    <row r="215" spans="1:7" x14ac:dyDescent="0.25">
      <c r="A215" s="1">
        <v>43010</v>
      </c>
      <c r="B215">
        <v>9</v>
      </c>
      <c r="C215">
        <v>9.1</v>
      </c>
      <c r="D215" s="2" t="str">
        <f t="shared" si="6"/>
        <v>2017/10/02 09:00:00</v>
      </c>
      <c r="F215" s="2" t="str">
        <v>2017/10/31 10:00:00</v>
      </c>
      <c r="G215">
        <f t="shared" si="7"/>
        <v>43039</v>
      </c>
    </row>
    <row r="216" spans="1:7" x14ac:dyDescent="0.25">
      <c r="A216" s="1">
        <v>43039</v>
      </c>
      <c r="B216">
        <v>9</v>
      </c>
      <c r="C216">
        <v>8.9</v>
      </c>
      <c r="D216" s="2" t="str">
        <f t="shared" si="6"/>
        <v>2017/10/31 10:00:00</v>
      </c>
      <c r="F216" s="2" t="str">
        <v>2017/11/30 10:00:00</v>
      </c>
      <c r="G216">
        <f t="shared" si="7"/>
        <v>43069</v>
      </c>
    </row>
    <row r="217" spans="1:7" x14ac:dyDescent="0.25">
      <c r="A217" s="1">
        <v>43069</v>
      </c>
      <c r="B217">
        <v>8.9</v>
      </c>
      <c r="C217">
        <v>8.8000000000000007</v>
      </c>
      <c r="D217" s="2" t="str">
        <f t="shared" si="6"/>
        <v>2017/11/30 10:00:00</v>
      </c>
      <c r="F217" s="2" t="str">
        <v>2018/01/09 10:00:00</v>
      </c>
      <c r="G217">
        <f t="shared" si="7"/>
        <v>43109</v>
      </c>
    </row>
    <row r="218" spans="1:7" x14ac:dyDescent="0.25">
      <c r="A218" s="1">
        <v>43109</v>
      </c>
      <c r="B218">
        <v>8.6999999999999993</v>
      </c>
      <c r="C218">
        <v>8.6999999999999993</v>
      </c>
      <c r="D218" s="2" t="str">
        <f t="shared" si="6"/>
        <v>2018/01/09 10:00:00</v>
      </c>
      <c r="F218" s="2" t="str">
        <v>2018/01/31 10:00:00</v>
      </c>
      <c r="G218">
        <f t="shared" si="7"/>
        <v>43131</v>
      </c>
    </row>
    <row r="219" spans="1:7" x14ac:dyDescent="0.25">
      <c r="A219" s="1">
        <v>43131</v>
      </c>
      <c r="B219">
        <v>8.6999999999999993</v>
      </c>
      <c r="C219">
        <v>8.6999999999999993</v>
      </c>
      <c r="D219" s="2" t="str">
        <f t="shared" si="6"/>
        <v>2018/01/31 10:00:00</v>
      </c>
      <c r="F219" s="2" t="str">
        <v>2018/03/01 10:00:00</v>
      </c>
      <c r="G219">
        <f t="shared" si="7"/>
        <v>43160</v>
      </c>
    </row>
    <row r="220" spans="1:7" x14ac:dyDescent="0.25">
      <c r="A220" s="1">
        <v>43160</v>
      </c>
      <c r="B220">
        <v>8.6</v>
      </c>
      <c r="C220">
        <v>8.6</v>
      </c>
      <c r="D220" s="2" t="str">
        <f t="shared" si="6"/>
        <v>2018/03/01 10:00:00</v>
      </c>
      <c r="F220" s="2" t="str">
        <v>2018/04/04 09:00:00</v>
      </c>
      <c r="G220">
        <f t="shared" si="7"/>
        <v>43194</v>
      </c>
    </row>
    <row r="221" spans="1:7" x14ac:dyDescent="0.25">
      <c r="A221" s="1">
        <v>43194</v>
      </c>
      <c r="B221">
        <v>8.5</v>
      </c>
      <c r="C221">
        <v>8.5</v>
      </c>
      <c r="D221" s="2" t="str">
        <f t="shared" si="6"/>
        <v>2018/04/04 09:00:00</v>
      </c>
      <c r="F221" s="2" t="str">
        <v>2018/05/02 09:00:00</v>
      </c>
      <c r="G221">
        <f t="shared" si="7"/>
        <v>43222</v>
      </c>
    </row>
    <row r="222" spans="1:7" x14ac:dyDescent="0.25">
      <c r="A222" s="1">
        <v>43222</v>
      </c>
      <c r="B222">
        <v>8.5</v>
      </c>
      <c r="C222">
        <v>8.5</v>
      </c>
      <c r="D222" s="2" t="str">
        <f t="shared" si="6"/>
        <v>2018/05/02 09:00:00</v>
      </c>
      <c r="F222" s="2" t="str">
        <v>2018/05/31 09:00:00</v>
      </c>
      <c r="G222">
        <f t="shared" si="7"/>
        <v>43251</v>
      </c>
    </row>
    <row r="223" spans="1:7" x14ac:dyDescent="0.25">
      <c r="A223" s="1">
        <v>43251</v>
      </c>
      <c r="B223">
        <v>8.4</v>
      </c>
      <c r="C223">
        <v>8.5</v>
      </c>
      <c r="D223" s="2" t="str">
        <f t="shared" si="6"/>
        <v>2018/05/31 09:00:00</v>
      </c>
      <c r="F223" s="2" t="str">
        <v>2018/07/02 09:00:00</v>
      </c>
      <c r="G223">
        <f t="shared" si="7"/>
        <v>43283</v>
      </c>
    </row>
    <row r="224" spans="1:7" x14ac:dyDescent="0.25">
      <c r="A224" s="1">
        <v>43283</v>
      </c>
      <c r="B224">
        <v>8.5</v>
      </c>
      <c r="C224">
        <v>8.4</v>
      </c>
      <c r="D224" s="2" t="str">
        <f t="shared" si="6"/>
        <v>2018/07/02 09:00:00</v>
      </c>
      <c r="F224" s="2" t="str">
        <v>2018/07/31 09:00:00</v>
      </c>
      <c r="G224">
        <f t="shared" si="7"/>
        <v>43312</v>
      </c>
    </row>
    <row r="225" spans="1:7" x14ac:dyDescent="0.25">
      <c r="A225" s="1">
        <v>43312</v>
      </c>
      <c r="B225">
        <v>8.3000000000000007</v>
      </c>
      <c r="C225">
        <v>8.3000000000000007</v>
      </c>
      <c r="D225" s="2" t="str">
        <f t="shared" si="6"/>
        <v>2018/07/31 09:00:00</v>
      </c>
      <c r="F225" s="2" t="str">
        <v>2018/08/31 09:00:00</v>
      </c>
      <c r="G225">
        <f t="shared" si="7"/>
        <v>43343</v>
      </c>
    </row>
    <row r="226" spans="1:7" x14ac:dyDescent="0.25">
      <c r="A226" s="1">
        <v>43343</v>
      </c>
      <c r="B226">
        <v>8.1999999999999993</v>
      </c>
      <c r="C226">
        <v>8.1999999999999993</v>
      </c>
      <c r="D226" s="2" t="str">
        <f t="shared" si="6"/>
        <v>2018/08/31 09:00:00</v>
      </c>
      <c r="F226" s="2" t="str">
        <v>2018/10/01 09:00:00</v>
      </c>
      <c r="G226">
        <f t="shared" si="7"/>
        <v>43374</v>
      </c>
    </row>
    <row r="227" spans="1:7" x14ac:dyDescent="0.25">
      <c r="A227" s="1">
        <v>43374</v>
      </c>
      <c r="B227">
        <v>8.1</v>
      </c>
      <c r="C227">
        <v>8.1</v>
      </c>
      <c r="D227" s="2" t="str">
        <f t="shared" si="6"/>
        <v>2018/10/01 09:00:00</v>
      </c>
      <c r="F227" s="2" t="str">
        <v>2018/10/31 10:00:00</v>
      </c>
      <c r="G227">
        <f t="shared" si="7"/>
        <v>43404</v>
      </c>
    </row>
    <row r="228" spans="1:7" x14ac:dyDescent="0.25">
      <c r="A228" s="1">
        <v>43404</v>
      </c>
      <c r="B228">
        <v>8.1</v>
      </c>
      <c r="C228">
        <v>8.1</v>
      </c>
      <c r="D228" s="2" t="str">
        <f t="shared" si="6"/>
        <v>2018/10/31 10:00:00</v>
      </c>
      <c r="F228" s="2" t="str">
        <v>2018/11/30 10:00:00</v>
      </c>
      <c r="G228">
        <f t="shared" si="7"/>
        <v>43434</v>
      </c>
    </row>
    <row r="229" spans="1:7" x14ac:dyDescent="0.25">
      <c r="A229" s="1">
        <v>43434</v>
      </c>
      <c r="B229">
        <v>8</v>
      </c>
      <c r="C229">
        <v>8.1</v>
      </c>
      <c r="D229" s="2" t="str">
        <f t="shared" si="6"/>
        <v>2018/11/30 10:00:00</v>
      </c>
      <c r="F229" s="2" t="str">
        <v>2019/01/09 10:00:00</v>
      </c>
      <c r="G229">
        <f t="shared" si="7"/>
        <v>43474</v>
      </c>
    </row>
    <row r="230" spans="1:7" x14ac:dyDescent="0.25">
      <c r="A230" s="1">
        <v>43474</v>
      </c>
      <c r="B230">
        <v>8.1</v>
      </c>
      <c r="C230">
        <v>7.9</v>
      </c>
      <c r="D230" s="2" t="str">
        <f t="shared" si="6"/>
        <v>2019/01/09 10:00:00</v>
      </c>
      <c r="F230" s="2" t="str">
        <v>2019/01/31 10:00:00</v>
      </c>
      <c r="G230">
        <f t="shared" si="7"/>
        <v>43496</v>
      </c>
    </row>
    <row r="231" spans="1:7" x14ac:dyDescent="0.25">
      <c r="A231" s="1">
        <v>43496</v>
      </c>
      <c r="B231">
        <v>7.9</v>
      </c>
      <c r="C231">
        <v>7.9</v>
      </c>
      <c r="D231" s="2" t="str">
        <f t="shared" si="6"/>
        <v>2019/01/31 10:00:00</v>
      </c>
      <c r="F231" s="2" t="str">
        <v>2019/03/01 10:00:00</v>
      </c>
      <c r="G231">
        <f t="shared" si="7"/>
        <v>43525</v>
      </c>
    </row>
    <row r="232" spans="1:7" x14ac:dyDescent="0.25">
      <c r="A232" s="1">
        <v>43525</v>
      </c>
      <c r="B232">
        <v>7.9</v>
      </c>
      <c r="C232">
        <v>7.8</v>
      </c>
      <c r="D232" s="2" t="str">
        <f t="shared" si="6"/>
        <v>2019/03/01 10:00:00</v>
      </c>
      <c r="F232" s="2" t="str">
        <v>2019/04/01 09:00:00</v>
      </c>
      <c r="G232">
        <f t="shared" si="7"/>
        <v>43556</v>
      </c>
    </row>
    <row r="233" spans="1:7" x14ac:dyDescent="0.25">
      <c r="A233" s="1">
        <v>43556</v>
      </c>
      <c r="B233">
        <v>7.8</v>
      </c>
      <c r="C233">
        <v>7.8</v>
      </c>
      <c r="D233" s="2" t="str">
        <f t="shared" si="6"/>
        <v>2019/04/01 09:00:00</v>
      </c>
      <c r="F233" s="2" t="str">
        <v>2019/04/30 09:00:00</v>
      </c>
      <c r="G233">
        <f t="shared" si="7"/>
        <v>43585</v>
      </c>
    </row>
    <row r="234" spans="1:7" x14ac:dyDescent="0.25">
      <c r="A234" s="1">
        <v>43585</v>
      </c>
      <c r="B234">
        <v>7.8</v>
      </c>
      <c r="C234">
        <v>7.7</v>
      </c>
      <c r="D234" s="2" t="str">
        <f t="shared" si="6"/>
        <v>2019/04/30 09:00:00</v>
      </c>
      <c r="F234" s="2" t="str">
        <v>2019/06/04 09:00:00</v>
      </c>
      <c r="G234">
        <f t="shared" si="7"/>
        <v>43620</v>
      </c>
    </row>
    <row r="235" spans="1:7" x14ac:dyDescent="0.25">
      <c r="A235" s="1">
        <v>43620</v>
      </c>
      <c r="B235">
        <v>7.7</v>
      </c>
      <c r="C235">
        <v>7.6</v>
      </c>
      <c r="D235" s="2" t="str">
        <f t="shared" si="6"/>
        <v>2019/06/04 09:00:00</v>
      </c>
      <c r="F235" s="2" t="str">
        <v>2019/07/01 09:00:00</v>
      </c>
      <c r="G235">
        <f t="shared" si="7"/>
        <v>43647</v>
      </c>
    </row>
    <row r="236" spans="1:7" x14ac:dyDescent="0.25">
      <c r="A236" s="1">
        <v>43647</v>
      </c>
      <c r="B236">
        <v>7.6</v>
      </c>
      <c r="C236">
        <v>7.5</v>
      </c>
      <c r="D236" s="2" t="str">
        <f t="shared" si="6"/>
        <v>2019/07/01 09:00:00</v>
      </c>
      <c r="F236" s="2" t="str">
        <v>2019/07/31 09:00:00</v>
      </c>
      <c r="G236">
        <f t="shared" si="7"/>
        <v>43677</v>
      </c>
    </row>
    <row r="237" spans="1:7" x14ac:dyDescent="0.25">
      <c r="A237" s="1">
        <v>43677</v>
      </c>
      <c r="B237">
        <v>7.5</v>
      </c>
      <c r="C237">
        <v>7.5</v>
      </c>
      <c r="D237" s="2" t="str">
        <f t="shared" si="6"/>
        <v>2019/07/31 09:00:00</v>
      </c>
      <c r="F237" s="2" t="str">
        <v>2019/08/30 09:00:00</v>
      </c>
      <c r="G237">
        <f t="shared" si="7"/>
        <v>43707</v>
      </c>
    </row>
    <row r="238" spans="1:7" x14ac:dyDescent="0.25">
      <c r="A238" s="1">
        <v>43707</v>
      </c>
      <c r="B238">
        <v>7.5</v>
      </c>
      <c r="C238">
        <v>7.5</v>
      </c>
      <c r="D238" s="2" t="str">
        <f t="shared" si="6"/>
        <v>2019/08/30 09:00:00</v>
      </c>
      <c r="F238" s="2" t="str">
        <v>2019/09/30 09:00:00</v>
      </c>
      <c r="G238">
        <f t="shared" si="7"/>
        <v>43738</v>
      </c>
    </row>
    <row r="239" spans="1:7" x14ac:dyDescent="0.25">
      <c r="A239" s="1">
        <v>43738</v>
      </c>
      <c r="B239">
        <v>7.5</v>
      </c>
      <c r="C239">
        <v>7.4</v>
      </c>
      <c r="D239" s="2" t="str">
        <f t="shared" si="6"/>
        <v>2019/09/30 09:00:00</v>
      </c>
      <c r="F239" s="2" t="str">
        <v>2019/10/31 10:00:00</v>
      </c>
      <c r="G239">
        <f t="shared" si="7"/>
        <v>43769</v>
      </c>
    </row>
    <row r="240" spans="1:7" x14ac:dyDescent="0.25">
      <c r="A240" s="1">
        <v>43769</v>
      </c>
      <c r="B240">
        <v>7.4</v>
      </c>
      <c r="C240">
        <v>7.5</v>
      </c>
      <c r="D240" s="2" t="str">
        <f t="shared" si="6"/>
        <v>2019/10/31 10:00:00</v>
      </c>
      <c r="F240" s="2" t="str">
        <v>2019/11/29 10:00:00</v>
      </c>
      <c r="G240">
        <f t="shared" si="7"/>
        <v>43798</v>
      </c>
    </row>
    <row r="241" spans="1:7" x14ac:dyDescent="0.25">
      <c r="A241" s="1">
        <v>43798</v>
      </c>
      <c r="B241">
        <v>7.5</v>
      </c>
      <c r="C241">
        <v>7.5</v>
      </c>
      <c r="D241" s="2" t="str">
        <f t="shared" si="6"/>
        <v>2019/11/29 10:00:00</v>
      </c>
      <c r="F241" s="2" t="str">
        <v>2020/01/09 10:00:00</v>
      </c>
      <c r="G241">
        <f t="shared" si="7"/>
        <v>43839</v>
      </c>
    </row>
    <row r="242" spans="1:7" x14ac:dyDescent="0.25">
      <c r="A242" s="1">
        <v>43839</v>
      </c>
      <c r="B242">
        <v>7.5</v>
      </c>
      <c r="C242">
        <v>7.5</v>
      </c>
      <c r="D242" s="2" t="str">
        <f t="shared" si="6"/>
        <v>2020/01/09 10:00:00</v>
      </c>
      <c r="F242" s="2" t="str">
        <v>2020/01/30 10:00:00</v>
      </c>
      <c r="G242">
        <f t="shared" si="7"/>
        <v>43860</v>
      </c>
    </row>
    <row r="243" spans="1:7" x14ac:dyDescent="0.25">
      <c r="A243" s="1">
        <v>43860</v>
      </c>
      <c r="B243">
        <v>7.5</v>
      </c>
      <c r="C243">
        <v>7.4</v>
      </c>
      <c r="D243" s="2" t="str">
        <f t="shared" si="6"/>
        <v>2020/01/30 10:00:00</v>
      </c>
      <c r="F243" s="2" t="str">
        <v>2020/03/03 10:00:00</v>
      </c>
      <c r="G243">
        <f t="shared" si="7"/>
        <v>43893</v>
      </c>
    </row>
    <row r="244" spans="1:7" x14ac:dyDescent="0.25">
      <c r="A244" s="1">
        <v>43893</v>
      </c>
      <c r="B244">
        <v>7.4</v>
      </c>
      <c r="C244">
        <v>7.4</v>
      </c>
      <c r="D244" s="2" t="str">
        <f t="shared" si="6"/>
        <v>2020/03/03 10:00:00</v>
      </c>
      <c r="F244" s="2" t="str">
        <v>2020/04/01 09:00:00</v>
      </c>
      <c r="G244">
        <f t="shared" si="7"/>
        <v>43922</v>
      </c>
    </row>
    <row r="245" spans="1:7" x14ac:dyDescent="0.25">
      <c r="A245" s="1">
        <v>43922</v>
      </c>
      <c r="B245">
        <v>7.4</v>
      </c>
      <c r="C245">
        <v>7.3</v>
      </c>
      <c r="D245" s="2" t="str">
        <f t="shared" si="6"/>
        <v>2020/04/01 09:00:00</v>
      </c>
      <c r="F245" s="2" t="str">
        <v>2020/04/30 09:00:00</v>
      </c>
      <c r="G245">
        <f t="shared" si="7"/>
        <v>43951</v>
      </c>
    </row>
    <row r="246" spans="1:7" x14ac:dyDescent="0.25">
      <c r="A246" s="1">
        <v>43951</v>
      </c>
      <c r="B246">
        <v>7.8</v>
      </c>
      <c r="C246">
        <v>7.4</v>
      </c>
      <c r="D246" s="2" t="str">
        <f t="shared" si="6"/>
        <v>2020/04/30 09:00:00</v>
      </c>
      <c r="F246" s="2" t="str">
        <v>2020/06/03 09:00:00</v>
      </c>
      <c r="G246">
        <f t="shared" si="7"/>
        <v>43985</v>
      </c>
    </row>
    <row r="247" spans="1:7" x14ac:dyDescent="0.25">
      <c r="A247" s="1">
        <v>43985</v>
      </c>
      <c r="B247">
        <v>8.1999999999999993</v>
      </c>
      <c r="C247">
        <v>7.3</v>
      </c>
      <c r="D247" s="2" t="str">
        <f t="shared" si="6"/>
        <v>2020/06/03 09:00:00</v>
      </c>
      <c r="F247" s="2" t="str">
        <v>2020/07/02 09:00:00</v>
      </c>
      <c r="G247">
        <f t="shared" si="7"/>
        <v>44014</v>
      </c>
    </row>
    <row r="248" spans="1:7" x14ac:dyDescent="0.25">
      <c r="A248" s="1">
        <v>44014</v>
      </c>
      <c r="B248">
        <v>7.7</v>
      </c>
      <c r="C248">
        <v>7.4</v>
      </c>
      <c r="D248" s="2" t="str">
        <f t="shared" si="6"/>
        <v>2020/07/02 09:00:00</v>
      </c>
      <c r="F248" s="2" t="str">
        <v>2020/07/30 09:00:00</v>
      </c>
      <c r="G248">
        <f t="shared" si="7"/>
        <v>44042</v>
      </c>
    </row>
    <row r="249" spans="1:7" x14ac:dyDescent="0.25">
      <c r="A249" s="1">
        <v>44042</v>
      </c>
      <c r="B249">
        <v>7.7</v>
      </c>
      <c r="C249">
        <v>7.8</v>
      </c>
      <c r="D249" s="2" t="str">
        <f t="shared" si="6"/>
        <v>2020/07/30 09:00:00</v>
      </c>
      <c r="F249" s="2" t="str">
        <v>2020/09/01 09:00:00</v>
      </c>
      <c r="G249">
        <f t="shared" si="7"/>
        <v>44075</v>
      </c>
    </row>
    <row r="250" spans="1:7" x14ac:dyDescent="0.25">
      <c r="A250" s="1">
        <v>44075</v>
      </c>
      <c r="B250">
        <v>8</v>
      </c>
      <c r="C250">
        <v>7.9</v>
      </c>
      <c r="D250" s="2" t="str">
        <f t="shared" si="6"/>
        <v>2020/09/01 09:00:00</v>
      </c>
      <c r="F250" s="2" t="str">
        <v>2020/10/01 09:00:00</v>
      </c>
      <c r="G250">
        <f t="shared" si="7"/>
        <v>44105</v>
      </c>
    </row>
    <row r="251" spans="1:7" x14ac:dyDescent="0.25">
      <c r="A251" s="1">
        <v>44105</v>
      </c>
      <c r="B251">
        <v>8.1</v>
      </c>
      <c r="C251">
        <v>8.1</v>
      </c>
      <c r="D251" s="2" t="str">
        <f t="shared" si="6"/>
        <v>2020/10/01 09:00:00</v>
      </c>
      <c r="F251" s="2" t="str">
        <v>2020/10/30 10:00:00</v>
      </c>
      <c r="G251">
        <f t="shared" si="7"/>
        <v>44134</v>
      </c>
    </row>
    <row r="252" spans="1:7" x14ac:dyDescent="0.25">
      <c r="A252" s="1">
        <v>44134</v>
      </c>
      <c r="B252">
        <v>8.1999999999999993</v>
      </c>
      <c r="C252">
        <v>8.3000000000000007</v>
      </c>
      <c r="D252" s="2" t="str">
        <f t="shared" si="6"/>
        <v>2020/10/30 10:00:00</v>
      </c>
      <c r="F252" s="2" t="str">
        <v>2020/12/02 10:00:00</v>
      </c>
      <c r="G252">
        <f t="shared" si="7"/>
        <v>44167</v>
      </c>
    </row>
    <row r="253" spans="1:7" x14ac:dyDescent="0.25">
      <c r="A253" s="1">
        <v>44167</v>
      </c>
      <c r="B253">
        <v>8.4</v>
      </c>
      <c r="C253">
        <v>8.4</v>
      </c>
      <c r="D253" s="2" t="str">
        <f t="shared" si="6"/>
        <v>2020/12/02 10:00:00</v>
      </c>
      <c r="F253" s="2" t="str">
        <v>2021/01/08 10:00:00</v>
      </c>
      <c r="G253">
        <f t="shared" si="7"/>
        <v>44204</v>
      </c>
    </row>
    <row r="254" spans="1:7" x14ac:dyDescent="0.25">
      <c r="A254" s="1">
        <v>44204</v>
      </c>
      <c r="B254">
        <v>8.5</v>
      </c>
      <c r="C254">
        <v>8.3000000000000007</v>
      </c>
      <c r="D254" s="2" t="str">
        <f t="shared" si="6"/>
        <v>2021/01/08 10:00:00</v>
      </c>
      <c r="F254" s="2" t="str">
        <v>2021/02/01 10:00:00</v>
      </c>
      <c r="G254">
        <f t="shared" si="7"/>
        <v>44228</v>
      </c>
    </row>
    <row r="255" spans="1:7" x14ac:dyDescent="0.25">
      <c r="A255" s="1">
        <v>44228</v>
      </c>
      <c r="B255">
        <v>8.3000000000000007</v>
      </c>
      <c r="C255">
        <v>8.3000000000000007</v>
      </c>
      <c r="D255" s="2" t="str">
        <f t="shared" si="6"/>
        <v>2021/02/01 10:00:00</v>
      </c>
      <c r="F255" s="2" t="str">
        <v>2021/03/04 10:00:00</v>
      </c>
      <c r="G255">
        <f t="shared" si="7"/>
        <v>44259</v>
      </c>
    </row>
    <row r="256" spans="1:7" x14ac:dyDescent="0.25">
      <c r="A256" s="1">
        <v>44259</v>
      </c>
      <c r="B256">
        <v>8.3000000000000007</v>
      </c>
      <c r="C256">
        <v>8.1</v>
      </c>
      <c r="D256" s="2" t="str">
        <f t="shared" si="6"/>
        <v>2021/03/04 10:00:00</v>
      </c>
      <c r="F256" s="2" t="str">
        <v>2021/04/06 09:00:00</v>
      </c>
      <c r="G256">
        <f t="shared" si="7"/>
        <v>44292</v>
      </c>
    </row>
    <row r="257" spans="1:7" x14ac:dyDescent="0.25">
      <c r="A257" s="1">
        <v>44292</v>
      </c>
      <c r="B257">
        <v>8.1</v>
      </c>
      <c r="C257">
        <v>8.3000000000000007</v>
      </c>
      <c r="D257" s="2" t="str">
        <f t="shared" si="6"/>
        <v>2021/04/06 09:00:00</v>
      </c>
      <c r="F257" s="2" t="str">
        <v>2021/04/30 09:00:00</v>
      </c>
      <c r="G257">
        <f t="shared" si="7"/>
        <v>44316</v>
      </c>
    </row>
    <row r="258" spans="1:7" x14ac:dyDescent="0.25">
      <c r="A258" s="1">
        <v>44316</v>
      </c>
      <c r="B258">
        <v>8.3000000000000007</v>
      </c>
      <c r="C258">
        <v>8.1</v>
      </c>
      <c r="D258" s="2" t="str">
        <f t="shared" ref="D258:D316" si="8">IFERROR(_xlfn.XLOOKUP(A258,$G:$G,$F:$F,""),"")</f>
        <v>2021/04/30 09:00:00</v>
      </c>
      <c r="F258" s="2" t="str">
        <v>2021/06/01 09:00:00</v>
      </c>
      <c r="G258">
        <f t="shared" ref="G258:G316" si="9">IFERROR(INT(F258),"")</f>
        <v>44348</v>
      </c>
    </row>
    <row r="259" spans="1:7" x14ac:dyDescent="0.25">
      <c r="A259" s="1">
        <v>44348</v>
      </c>
      <c r="B259">
        <v>8.1</v>
      </c>
      <c r="C259">
        <v>8</v>
      </c>
      <c r="D259" s="2" t="str">
        <f t="shared" si="8"/>
        <v>2021/06/01 09:00:00</v>
      </c>
      <c r="F259" s="2" t="str">
        <v>2021/07/01 09:00:00</v>
      </c>
      <c r="G259">
        <f t="shared" si="9"/>
        <v>44378</v>
      </c>
    </row>
    <row r="260" spans="1:7" x14ac:dyDescent="0.25">
      <c r="A260" s="1">
        <v>44378</v>
      </c>
      <c r="B260">
        <v>8</v>
      </c>
      <c r="C260">
        <v>7.9</v>
      </c>
      <c r="D260" s="2" t="str">
        <f t="shared" si="8"/>
        <v>2021/07/01 09:00:00</v>
      </c>
      <c r="F260" s="2" t="str">
        <v>2021/07/30 09:00:00</v>
      </c>
      <c r="G260">
        <f t="shared" si="9"/>
        <v>44407</v>
      </c>
    </row>
    <row r="261" spans="1:7" x14ac:dyDescent="0.25">
      <c r="A261" s="1">
        <v>44407</v>
      </c>
      <c r="B261">
        <v>7.9</v>
      </c>
      <c r="C261">
        <v>7.7</v>
      </c>
      <c r="D261" s="2" t="str">
        <f t="shared" si="8"/>
        <v>2021/07/30 09:00:00</v>
      </c>
      <c r="F261" s="2" t="str">
        <v>2021/09/01 09:00:00</v>
      </c>
      <c r="G261">
        <f t="shared" si="9"/>
        <v>44440</v>
      </c>
    </row>
    <row r="262" spans="1:7" x14ac:dyDescent="0.25">
      <c r="A262" s="1">
        <v>44440</v>
      </c>
      <c r="B262">
        <v>7.6</v>
      </c>
      <c r="C262">
        <v>7.6</v>
      </c>
      <c r="D262" s="2" t="str">
        <f t="shared" si="8"/>
        <v>2021/09/01 09:00:00</v>
      </c>
      <c r="F262" s="2" t="str">
        <v>2021/09/30 09:00:00</v>
      </c>
      <c r="G262">
        <f t="shared" si="9"/>
        <v>44469</v>
      </c>
    </row>
    <row r="263" spans="1:7" x14ac:dyDescent="0.25">
      <c r="A263" s="1">
        <v>44469</v>
      </c>
      <c r="B263">
        <v>7.5</v>
      </c>
      <c r="C263">
        <v>7.5</v>
      </c>
      <c r="D263" s="2" t="str">
        <f t="shared" si="8"/>
        <v>2021/09/30 09:00:00</v>
      </c>
      <c r="F263" s="2" t="str">
        <v>2021/11/03 10:00:00</v>
      </c>
      <c r="G263">
        <f t="shared" si="9"/>
        <v>44503</v>
      </c>
    </row>
    <row r="264" spans="1:7" x14ac:dyDescent="0.25">
      <c r="A264" s="1">
        <v>44503</v>
      </c>
      <c r="B264">
        <v>7.4</v>
      </c>
      <c r="C264">
        <v>7.4</v>
      </c>
      <c r="D264" s="2" t="str">
        <f t="shared" si="8"/>
        <v>2021/11/03 10:00:00</v>
      </c>
      <c r="F264" s="2" t="str">
        <v>2021/12/02 10:00:00</v>
      </c>
      <c r="G264">
        <f t="shared" si="9"/>
        <v>44532</v>
      </c>
    </row>
    <row r="265" spans="1:7" x14ac:dyDescent="0.25">
      <c r="A265" s="1">
        <v>44532</v>
      </c>
      <c r="B265">
        <v>7.3</v>
      </c>
      <c r="C265">
        <v>7.3</v>
      </c>
      <c r="D265" s="2" t="str">
        <f t="shared" si="8"/>
        <v>2021/12/02 10:00:00</v>
      </c>
      <c r="F265" s="2" t="str">
        <v>2022/01/10 10:00:00</v>
      </c>
      <c r="G265">
        <f t="shared" si="9"/>
        <v>44571</v>
      </c>
    </row>
    <row r="266" spans="1:7" x14ac:dyDescent="0.25">
      <c r="A266" s="1">
        <v>44571</v>
      </c>
      <c r="B266">
        <v>7.2</v>
      </c>
      <c r="C266">
        <v>7.2</v>
      </c>
      <c r="D266" s="2" t="str">
        <f t="shared" si="8"/>
        <v>2022/01/10 10:00:00</v>
      </c>
      <c r="F266" s="2" t="str">
        <v>2022/02/01 10:00:00</v>
      </c>
      <c r="G266">
        <f t="shared" si="9"/>
        <v>44593</v>
      </c>
    </row>
    <row r="267" spans="1:7" x14ac:dyDescent="0.25">
      <c r="A267" s="1">
        <v>44593</v>
      </c>
      <c r="B267">
        <v>7.1</v>
      </c>
      <c r="C267">
        <v>7</v>
      </c>
      <c r="D267" s="2" t="str">
        <f t="shared" si="8"/>
        <v>2022/02/01 10:00:00</v>
      </c>
      <c r="F267" s="2" t="str">
        <v>2022/03/03 10:00:00</v>
      </c>
      <c r="G267">
        <f t="shared" si="9"/>
        <v>44623</v>
      </c>
    </row>
    <row r="268" spans="1:7" x14ac:dyDescent="0.25">
      <c r="A268" s="1">
        <v>44623</v>
      </c>
      <c r="B268">
        <v>6.9</v>
      </c>
      <c r="C268">
        <v>6.8</v>
      </c>
      <c r="D268" s="2" t="str">
        <f t="shared" si="8"/>
        <v>2022/03/03 10:00:00</v>
      </c>
      <c r="F268" s="2" t="str">
        <v>2022/03/31 09:00:00</v>
      </c>
      <c r="G268">
        <f t="shared" si="9"/>
        <v>44651</v>
      </c>
    </row>
    <row r="269" spans="1:7" x14ac:dyDescent="0.25">
      <c r="A269" s="1">
        <v>44651</v>
      </c>
      <c r="B269">
        <v>6.7</v>
      </c>
      <c r="C269">
        <v>6.8</v>
      </c>
      <c r="D269" s="2" t="str">
        <f t="shared" si="8"/>
        <v>2022/03/31 09:00:00</v>
      </c>
      <c r="F269" s="2" t="str">
        <v>2022/05/03 09:00:00</v>
      </c>
      <c r="G269">
        <f t="shared" si="9"/>
        <v>44684</v>
      </c>
    </row>
    <row r="270" spans="1:7" x14ac:dyDescent="0.25">
      <c r="A270" s="1">
        <v>44684</v>
      </c>
      <c r="B270">
        <v>6.8</v>
      </c>
      <c r="C270">
        <v>6.8</v>
      </c>
      <c r="D270" s="2" t="str">
        <f t="shared" si="8"/>
        <v>2022/05/03 09:00:00</v>
      </c>
      <c r="F270" s="2" t="str">
        <v>2022/06/01 09:00:00</v>
      </c>
      <c r="G270">
        <f t="shared" si="9"/>
        <v>44713</v>
      </c>
    </row>
    <row r="271" spans="1:7" x14ac:dyDescent="0.25">
      <c r="A271" s="1">
        <v>44713</v>
      </c>
      <c r="B271">
        <v>6.8</v>
      </c>
      <c r="C271">
        <v>6.8</v>
      </c>
      <c r="D271" s="2" t="str">
        <f t="shared" si="8"/>
        <v>2022/06/01 09:00:00</v>
      </c>
      <c r="F271" s="2" t="str">
        <v>2022/06/30 09:00:00</v>
      </c>
      <c r="G271">
        <f t="shared" si="9"/>
        <v>44742</v>
      </c>
    </row>
    <row r="272" spans="1:7" x14ac:dyDescent="0.25">
      <c r="A272" s="1">
        <v>44742</v>
      </c>
      <c r="B272">
        <v>6.8</v>
      </c>
      <c r="C272">
        <v>6.6</v>
      </c>
      <c r="D272" s="2" t="str">
        <f t="shared" si="8"/>
        <v>2022/06/30 09:00:00</v>
      </c>
      <c r="F272" s="2" t="str">
        <v>2022/08/01 09:00:00</v>
      </c>
      <c r="G272">
        <f t="shared" si="9"/>
        <v>44774</v>
      </c>
    </row>
    <row r="273" spans="1:7" x14ac:dyDescent="0.25">
      <c r="A273" s="1">
        <v>44774</v>
      </c>
      <c r="B273">
        <v>6.6</v>
      </c>
      <c r="C273">
        <v>6.6</v>
      </c>
      <c r="D273" s="2" t="str">
        <f t="shared" si="8"/>
        <v>2022/08/01 09:00:00</v>
      </c>
      <c r="F273" s="2" t="str">
        <v>2022/09/01 09:00:00</v>
      </c>
      <c r="G273">
        <f t="shared" si="9"/>
        <v>44805</v>
      </c>
    </row>
    <row r="274" spans="1:7" x14ac:dyDescent="0.25">
      <c r="A274" s="1">
        <v>44805</v>
      </c>
      <c r="B274">
        <v>6.6</v>
      </c>
      <c r="C274">
        <v>6.6</v>
      </c>
      <c r="D274" s="2" t="str">
        <f t="shared" si="8"/>
        <v>2022/09/01 09:00:00</v>
      </c>
      <c r="F274" s="2" t="str">
        <v>2022/09/30 09:00:00</v>
      </c>
      <c r="G274">
        <f t="shared" si="9"/>
        <v>44834</v>
      </c>
    </row>
    <row r="275" spans="1:7" x14ac:dyDescent="0.25">
      <c r="A275" s="1">
        <v>44834</v>
      </c>
      <c r="B275">
        <v>6.6</v>
      </c>
      <c r="C275">
        <v>6.6</v>
      </c>
      <c r="D275" s="2" t="str">
        <f t="shared" si="8"/>
        <v>2022/09/30 09:00:00</v>
      </c>
      <c r="F275" s="2" t="str">
        <v>2022/11/03 10:00:00</v>
      </c>
      <c r="G275">
        <f t="shared" si="9"/>
        <v>44868</v>
      </c>
    </row>
    <row r="276" spans="1:7" x14ac:dyDescent="0.25">
      <c r="A276" s="1">
        <v>44868</v>
      </c>
      <c r="B276">
        <v>6.6</v>
      </c>
      <c r="C276">
        <v>6.6</v>
      </c>
      <c r="D276" s="2" t="str">
        <f t="shared" si="8"/>
        <v>2022/11/03 10:00:00</v>
      </c>
      <c r="F276" s="2" t="str">
        <v>2022/12/01 10:00:00</v>
      </c>
      <c r="G276">
        <f t="shared" si="9"/>
        <v>44896</v>
      </c>
    </row>
    <row r="277" spans="1:7" x14ac:dyDescent="0.25">
      <c r="A277" s="1">
        <v>44896</v>
      </c>
      <c r="B277">
        <v>6.6</v>
      </c>
      <c r="C277">
        <v>6.5</v>
      </c>
      <c r="D277" s="2" t="str">
        <f t="shared" si="8"/>
        <v>2022/12/01 10:00:00</v>
      </c>
      <c r="F277" s="2" t="str">
        <v>2023/01/09 10:00:00</v>
      </c>
      <c r="G277">
        <f t="shared" si="9"/>
        <v>44935</v>
      </c>
    </row>
    <row r="278" spans="1:7" x14ac:dyDescent="0.25">
      <c r="A278" s="1">
        <v>44935</v>
      </c>
      <c r="B278">
        <v>6.5</v>
      </c>
      <c r="C278">
        <v>6.5</v>
      </c>
      <c r="D278" s="2" t="str">
        <f t="shared" si="8"/>
        <v>2023/01/09 10:00:00</v>
      </c>
      <c r="F278" s="2" t="str">
        <v>2023/02/01 10:00:00</v>
      </c>
      <c r="G278">
        <f t="shared" si="9"/>
        <v>44958</v>
      </c>
    </row>
    <row r="279" spans="1:7" x14ac:dyDescent="0.25">
      <c r="A279" s="1">
        <v>44958</v>
      </c>
      <c r="B279">
        <v>6.5</v>
      </c>
      <c r="C279">
        <v>6.6</v>
      </c>
      <c r="D279" s="2" t="str">
        <f t="shared" si="8"/>
        <v>2023/02/01 10:00:00</v>
      </c>
      <c r="F279" s="2" t="str">
        <v>2023/03/02 10:00:00</v>
      </c>
      <c r="G279">
        <f t="shared" si="9"/>
        <v>44987</v>
      </c>
    </row>
    <row r="280" spans="1:7" x14ac:dyDescent="0.25">
      <c r="A280" s="1">
        <v>44987</v>
      </c>
      <c r="B280">
        <v>6.6</v>
      </c>
      <c r="C280">
        <v>6.7</v>
      </c>
      <c r="D280" s="2" t="str">
        <f t="shared" si="8"/>
        <v>2023/03/02 10:00:00</v>
      </c>
      <c r="F280" s="2" t="str">
        <v>2023/03/31 09:00:00</v>
      </c>
      <c r="G280">
        <f t="shared" si="9"/>
        <v>45016</v>
      </c>
    </row>
    <row r="281" spans="1:7" x14ac:dyDescent="0.25">
      <c r="A281" s="1">
        <v>45016</v>
      </c>
      <c r="B281">
        <v>6.6</v>
      </c>
      <c r="C281">
        <v>6.6</v>
      </c>
      <c r="D281" s="2" t="str">
        <f t="shared" si="8"/>
        <v>2023/03/31 09:00:00</v>
      </c>
      <c r="F281" s="2" t="str">
        <v>2023/05/03 09:00:00</v>
      </c>
      <c r="G281">
        <f t="shared" si="9"/>
        <v>45049</v>
      </c>
    </row>
    <row r="282" spans="1:7" x14ac:dyDescent="0.25">
      <c r="A282" s="1">
        <v>45049</v>
      </c>
      <c r="B282">
        <v>6.6</v>
      </c>
      <c r="C282">
        <v>6.5</v>
      </c>
      <c r="D282" s="2" t="str">
        <f t="shared" si="8"/>
        <v>2023/05/03 09:00:00</v>
      </c>
      <c r="F282" s="2" t="str">
        <v>2023/06/01 09:00:00</v>
      </c>
      <c r="G282">
        <f t="shared" si="9"/>
        <v>45078</v>
      </c>
    </row>
    <row r="283" spans="1:7" x14ac:dyDescent="0.25">
      <c r="A283" s="1">
        <v>45078</v>
      </c>
      <c r="B283">
        <v>6.5</v>
      </c>
      <c r="C283">
        <v>6.5</v>
      </c>
      <c r="D283" s="2" t="str">
        <f t="shared" si="8"/>
        <v>2023/06/01 09:00:00</v>
      </c>
      <c r="F283" s="2" t="str">
        <v>2023/06/30 09:00:00</v>
      </c>
      <c r="G283">
        <f t="shared" si="9"/>
        <v>45107</v>
      </c>
    </row>
    <row r="284" spans="1:7" x14ac:dyDescent="0.25">
      <c r="A284" s="1">
        <v>45107</v>
      </c>
      <c r="B284">
        <v>6.5</v>
      </c>
      <c r="C284">
        <v>6.5</v>
      </c>
      <c r="D284" s="2" t="str">
        <f t="shared" si="8"/>
        <v>2023/06/30 09:00:00</v>
      </c>
      <c r="F284" s="2" t="str">
        <v>2023/08/01 09:00:00</v>
      </c>
      <c r="G284">
        <f t="shared" si="9"/>
        <v>45139</v>
      </c>
    </row>
    <row r="285" spans="1:7" x14ac:dyDescent="0.25">
      <c r="A285" s="1">
        <v>45139</v>
      </c>
      <c r="B285">
        <v>6.5</v>
      </c>
      <c r="C285">
        <v>6.4</v>
      </c>
      <c r="D285" s="2" t="str">
        <f t="shared" si="8"/>
        <v>2023/08/01 09:00:00</v>
      </c>
      <c r="F285" s="2" t="str">
        <v>2023/08/31 09:00:00</v>
      </c>
      <c r="G285">
        <f t="shared" si="9"/>
        <v>45169</v>
      </c>
    </row>
    <row r="286" spans="1:7" x14ac:dyDescent="0.25">
      <c r="A286" s="1">
        <v>45169</v>
      </c>
      <c r="B286">
        <v>6.4</v>
      </c>
      <c r="C286">
        <v>6.4</v>
      </c>
      <c r="D286" s="2" t="str">
        <f t="shared" si="8"/>
        <v>2023/08/31 09:00:00</v>
      </c>
      <c r="F286" s="2" t="str">
        <v>2023/10/02 09:00:00</v>
      </c>
      <c r="G286">
        <f t="shared" si="9"/>
        <v>45201</v>
      </c>
    </row>
    <row r="287" spans="1:7" x14ac:dyDescent="0.25">
      <c r="A287" s="1">
        <v>45201</v>
      </c>
      <c r="B287">
        <v>6.4</v>
      </c>
      <c r="C287">
        <v>6.4</v>
      </c>
      <c r="D287" s="2" t="str">
        <f t="shared" si="8"/>
        <v>2023/10/02 09:00:00</v>
      </c>
      <c r="F287" s="2" t="str">
        <v>2023/11/03 10:00:00</v>
      </c>
      <c r="G287">
        <f t="shared" si="9"/>
        <v>45233</v>
      </c>
    </row>
    <row r="288" spans="1:7" x14ac:dyDescent="0.25">
      <c r="A288" s="1">
        <v>45233</v>
      </c>
      <c r="B288">
        <v>6.4</v>
      </c>
      <c r="C288">
        <v>6.5</v>
      </c>
      <c r="D288" s="2" t="str">
        <f t="shared" si="8"/>
        <v>2023/11/03 10:00:00</v>
      </c>
      <c r="F288" s="2" t="str">
        <v>2023/11/30 10:00:00</v>
      </c>
      <c r="G288">
        <f t="shared" si="9"/>
        <v>45260</v>
      </c>
    </row>
    <row r="289" spans="1:7" x14ac:dyDescent="0.25">
      <c r="A289" s="1">
        <v>45260</v>
      </c>
      <c r="B289">
        <v>6.5</v>
      </c>
      <c r="C289">
        <v>6.5</v>
      </c>
      <c r="D289" s="2" t="str">
        <f t="shared" si="8"/>
        <v>2023/11/30 10:00:00</v>
      </c>
      <c r="F289" s="2" t="str">
        <v>2024/01/09 10:00:00</v>
      </c>
      <c r="G289">
        <f t="shared" si="9"/>
        <v>45300</v>
      </c>
    </row>
    <row r="290" spans="1:7" x14ac:dyDescent="0.25">
      <c r="A290" s="1">
        <v>45300</v>
      </c>
      <c r="B290">
        <v>6.5</v>
      </c>
      <c r="C290">
        <v>6.4</v>
      </c>
      <c r="D290" s="2" t="str">
        <f t="shared" si="8"/>
        <v>2024/01/09 10:00:00</v>
      </c>
      <c r="F290" s="2" t="str">
        <v>2024/02/01 10:00:00</v>
      </c>
      <c r="G290">
        <f t="shared" si="9"/>
        <v>45323</v>
      </c>
    </row>
    <row r="291" spans="1:7" x14ac:dyDescent="0.25">
      <c r="A291" s="1">
        <v>45323</v>
      </c>
      <c r="B291">
        <v>6.4</v>
      </c>
      <c r="C291">
        <v>6.4</v>
      </c>
      <c r="D291" s="2" t="str">
        <f t="shared" si="8"/>
        <v>2024/02/01 10:00:00</v>
      </c>
      <c r="F291" s="2" t="str">
        <v>2024/03/01 10:00:00</v>
      </c>
      <c r="G291">
        <f t="shared" si="9"/>
        <v>45352</v>
      </c>
    </row>
    <row r="292" spans="1:7" x14ac:dyDescent="0.25">
      <c r="A292" s="1">
        <v>45352</v>
      </c>
      <c r="B292">
        <v>6.4</v>
      </c>
      <c r="C292">
        <v>6.4</v>
      </c>
      <c r="D292" s="2" t="str">
        <f t="shared" si="8"/>
        <v>2024/03/01 10:00:00</v>
      </c>
      <c r="F292" s="2" t="str">
        <v>2024/04/03 09:00:00</v>
      </c>
      <c r="G292">
        <f t="shared" si="9"/>
        <v>45385</v>
      </c>
    </row>
    <row r="293" spans="1:7" x14ac:dyDescent="0.25">
      <c r="A293" s="1">
        <v>45385</v>
      </c>
      <c r="B293">
        <v>6.4</v>
      </c>
      <c r="C293">
        <v>6.5</v>
      </c>
      <c r="D293" s="2" t="str">
        <f t="shared" si="8"/>
        <v>2024/04/03 09:00:00</v>
      </c>
      <c r="F293" s="2" t="str">
        <v>2024/05/03 09:00:00</v>
      </c>
      <c r="G293">
        <f t="shared" si="9"/>
        <v>45415</v>
      </c>
    </row>
    <row r="294" spans="1:7" x14ac:dyDescent="0.25">
      <c r="A294" s="1">
        <v>45415</v>
      </c>
      <c r="B294">
        <v>6.5</v>
      </c>
      <c r="C294">
        <v>6.5</v>
      </c>
      <c r="D294" s="2" t="str">
        <f t="shared" si="8"/>
        <v>2024/05/03 09:00:00</v>
      </c>
      <c r="F294" s="2" t="str">
        <v>2024/05/30 09:00:00</v>
      </c>
      <c r="G294">
        <f t="shared" si="9"/>
        <v>45442</v>
      </c>
    </row>
    <row r="295" spans="1:7" x14ac:dyDescent="0.25">
      <c r="A295" s="1">
        <v>45442</v>
      </c>
      <c r="B295">
        <v>6.5</v>
      </c>
      <c r="C295">
        <v>6.4</v>
      </c>
      <c r="D295" s="2" t="str">
        <f t="shared" si="8"/>
        <v>2024/05/30 09:00:00</v>
      </c>
      <c r="F295" s="2" t="str">
        <v>2024/07/02 09:00:00</v>
      </c>
      <c r="G295">
        <f t="shared" si="9"/>
        <v>45475</v>
      </c>
    </row>
    <row r="296" spans="1:7" x14ac:dyDescent="0.25">
      <c r="A296" s="1">
        <v>45475</v>
      </c>
      <c r="B296">
        <v>6.4</v>
      </c>
      <c r="C296">
        <v>6.4</v>
      </c>
      <c r="D296" s="2" t="str">
        <f t="shared" si="8"/>
        <v>2024/07/02 09:00:00</v>
      </c>
      <c r="F296" s="2" t="str">
        <v>2024/08/01 09:00:00</v>
      </c>
      <c r="G296">
        <f t="shared" si="9"/>
        <v>45505</v>
      </c>
    </row>
    <row r="297" spans="1:7" x14ac:dyDescent="0.25">
      <c r="A297" s="1">
        <v>45505</v>
      </c>
      <c r="B297">
        <v>6.4</v>
      </c>
      <c r="C297">
        <v>6.5</v>
      </c>
      <c r="D297" s="2" t="str">
        <f t="shared" si="8"/>
        <v>2024/08/01 09:00:00</v>
      </c>
      <c r="F297" s="2" t="str">
        <v>2024/08/30 09:00:00</v>
      </c>
      <c r="G297">
        <f t="shared" si="9"/>
        <v>45534</v>
      </c>
    </row>
    <row r="298" spans="1:7" x14ac:dyDescent="0.25">
      <c r="A298" s="1">
        <v>45534</v>
      </c>
      <c r="B298">
        <v>6.5</v>
      </c>
      <c r="C298">
        <v>6.4</v>
      </c>
      <c r="D298" s="2" t="str">
        <f t="shared" si="8"/>
        <v>2024/08/30 09:00:00</v>
      </c>
      <c r="F298" s="2" t="str">
        <v>2024/10/02 09:00:00</v>
      </c>
      <c r="G298">
        <f t="shared" si="9"/>
        <v>45567</v>
      </c>
    </row>
    <row r="299" spans="1:7" x14ac:dyDescent="0.25">
      <c r="A299" s="1">
        <v>45567</v>
      </c>
      <c r="B299">
        <v>6.4</v>
      </c>
      <c r="C299">
        <v>6.4</v>
      </c>
      <c r="D299" s="2" t="str">
        <f t="shared" si="8"/>
        <v>2024/10/02 09:00:00</v>
      </c>
      <c r="F299" s="2" t="str">
        <v>2024/10/31 10:00:00</v>
      </c>
      <c r="G299">
        <f t="shared" si="9"/>
        <v>45596</v>
      </c>
    </row>
    <row r="300" spans="1:7" x14ac:dyDescent="0.25">
      <c r="A300" s="1">
        <v>45596</v>
      </c>
      <c r="B300">
        <v>6.4</v>
      </c>
      <c r="C300">
        <v>6.3</v>
      </c>
      <c r="D300" s="2" t="str">
        <f t="shared" si="8"/>
        <v>2024/10/31 10:00:00</v>
      </c>
      <c r="F300" s="2" t="str">
        <v>2024/12/02 10:00:00</v>
      </c>
      <c r="G300">
        <f t="shared" si="9"/>
        <v>45628</v>
      </c>
    </row>
    <row r="301" spans="1:7" x14ac:dyDescent="0.25">
      <c r="A301" s="1">
        <v>45628</v>
      </c>
      <c r="B301">
        <v>6.3</v>
      </c>
      <c r="C301">
        <v>6.3</v>
      </c>
      <c r="D301" s="2" t="str">
        <f t="shared" si="8"/>
        <v>2024/12/02 10:00:00</v>
      </c>
      <c r="F301" s="2" t="str">
        <v>2025/01/07 10:00:00</v>
      </c>
      <c r="G301">
        <f t="shared" si="9"/>
        <v>45664</v>
      </c>
    </row>
    <row r="302" spans="1:7" x14ac:dyDescent="0.25">
      <c r="A302" s="1">
        <v>45664</v>
      </c>
      <c r="B302">
        <v>6.3</v>
      </c>
      <c r="C302">
        <v>6.3</v>
      </c>
      <c r="D302" s="2" t="str">
        <f t="shared" si="8"/>
        <v>2025/01/07 10:00:00</v>
      </c>
      <c r="F302" s="2" t="str">
        <v>2025/01/30 10:00:00</v>
      </c>
      <c r="G302">
        <f t="shared" si="9"/>
        <v>45687</v>
      </c>
    </row>
    <row r="303" spans="1:7" x14ac:dyDescent="0.25">
      <c r="A303" s="1">
        <v>45687</v>
      </c>
      <c r="B303">
        <v>6.3</v>
      </c>
      <c r="C303">
        <v>6.3</v>
      </c>
      <c r="D303" s="2" t="str">
        <f t="shared" si="8"/>
        <v>2025/01/30 10:00:00</v>
      </c>
      <c r="F303" s="2" t="str">
        <v>2025/03/04 10:00:00</v>
      </c>
      <c r="G303">
        <f t="shared" si="9"/>
        <v>45720</v>
      </c>
    </row>
    <row r="304" spans="1:7" x14ac:dyDescent="0.25">
      <c r="A304" s="1">
        <v>45720</v>
      </c>
      <c r="B304">
        <v>6.3</v>
      </c>
      <c r="C304">
        <v>6.2</v>
      </c>
      <c r="D304" s="2" t="str">
        <f t="shared" si="8"/>
        <v>2025/03/04 10:00:00</v>
      </c>
      <c r="F304" s="2" t="str">
        <v>2025/04/01 09:00:00</v>
      </c>
      <c r="G304">
        <f t="shared" si="9"/>
        <v>45748</v>
      </c>
    </row>
    <row r="305" spans="1:7" x14ac:dyDescent="0.25">
      <c r="A305" s="1">
        <v>45748</v>
      </c>
      <c r="B305">
        <v>6.2</v>
      </c>
      <c r="C305">
        <v>6.1</v>
      </c>
      <c r="D305" s="2" t="str">
        <f t="shared" si="8"/>
        <v>2025/04/01 09:00:00</v>
      </c>
      <c r="F305" s="2" t="str">
        <v>2025/05/02 09:00:00</v>
      </c>
      <c r="G305">
        <f t="shared" si="9"/>
        <v>45779</v>
      </c>
    </row>
    <row r="306" spans="1:7" x14ac:dyDescent="0.25">
      <c r="A306" s="1">
        <v>45779</v>
      </c>
      <c r="B306">
        <v>6.1</v>
      </c>
      <c r="C306">
        <v>6.2</v>
      </c>
      <c r="D306" s="2" t="str">
        <f t="shared" si="8"/>
        <v>2025/05/02 09:00:00</v>
      </c>
      <c r="F306" s="2" t="str">
        <v>2025/06/03 09:00:00</v>
      </c>
      <c r="G306">
        <f t="shared" si="9"/>
        <v>45811</v>
      </c>
    </row>
    <row r="307" spans="1:7" x14ac:dyDescent="0.25">
      <c r="A307" s="1">
        <v>45811</v>
      </c>
      <c r="B307">
        <v>6.2</v>
      </c>
      <c r="C307">
        <v>6.2</v>
      </c>
      <c r="D307" s="2" t="str">
        <f t="shared" si="8"/>
        <v>2025/06/03 09:00:00</v>
      </c>
      <c r="F307" s="2" t="str">
        <v>2025/07/02 09:00:00</v>
      </c>
      <c r="G307">
        <f t="shared" si="9"/>
        <v>45840</v>
      </c>
    </row>
    <row r="308" spans="1:7" x14ac:dyDescent="0.25">
      <c r="A308" s="1">
        <v>45840</v>
      </c>
      <c r="B308">
        <v>6.2</v>
      </c>
      <c r="C308">
        <v>6.3</v>
      </c>
      <c r="D308" s="2" t="str">
        <f t="shared" si="8"/>
        <v>2025/07/02 09:00:00</v>
      </c>
      <c r="F308" s="2" t="str">
        <v>2025/07/31 09:00:00</v>
      </c>
      <c r="G308">
        <f t="shared" si="9"/>
        <v>45869</v>
      </c>
    </row>
    <row r="309" spans="1:7" x14ac:dyDescent="0.25">
      <c r="A309" s="1">
        <v>45869</v>
      </c>
      <c r="B309">
        <v>6.3</v>
      </c>
      <c r="C309">
        <v>6.2</v>
      </c>
      <c r="D309" s="2" t="str">
        <f t="shared" si="8"/>
        <v>2025/07/31 09:00:00</v>
      </c>
      <c r="F309" s="2" t="str">
        <v>2025/09/01 09:00:00</v>
      </c>
      <c r="G309">
        <f t="shared" si="9"/>
        <v>45901</v>
      </c>
    </row>
    <row r="310" spans="1:7" x14ac:dyDescent="0.25">
      <c r="A310" s="1">
        <v>45901</v>
      </c>
      <c r="B310">
        <v>6.2</v>
      </c>
      <c r="C310">
        <v>6.2</v>
      </c>
      <c r="D310" s="2" t="str">
        <f t="shared" si="8"/>
        <v>2025/09/01 09:00:00</v>
      </c>
      <c r="F310" s="2" t="str">
        <v>2025/10/02 09:00:00</v>
      </c>
      <c r="G310">
        <f t="shared" si="9"/>
        <v>45932</v>
      </c>
    </row>
    <row r="311" spans="1:7" x14ac:dyDescent="0.25">
      <c r="A311" s="1">
        <v>45932</v>
      </c>
      <c r="B311">
        <v>6.2</v>
      </c>
      <c r="C311">
        <v>6.3</v>
      </c>
      <c r="D311" s="2" t="str">
        <f t="shared" si="8"/>
        <v>2025/10/02 09:00:00</v>
      </c>
      <c r="F311" s="2" t="str">
        <v>2025/10/30 10:00:00</v>
      </c>
      <c r="G311">
        <f t="shared" si="9"/>
        <v>45960</v>
      </c>
    </row>
    <row r="312" spans="1:7" x14ac:dyDescent="0.25">
      <c r="A312" s="1">
        <v>45960</v>
      </c>
      <c r="B312">
        <v>6.3</v>
      </c>
      <c r="C312">
        <v>6.3</v>
      </c>
      <c r="D312" s="2" t="str">
        <f t="shared" si="8"/>
        <v>2025/10/30 10:00:00</v>
      </c>
      <c r="F312" s="2" t="str">
        <v>2025/12/02 10:00:00</v>
      </c>
      <c r="G312">
        <f t="shared" si="9"/>
        <v>45993</v>
      </c>
    </row>
    <row r="313" spans="1:7" x14ac:dyDescent="0.25">
      <c r="A313" s="1">
        <v>45993</v>
      </c>
      <c r="B313">
        <v>6.3</v>
      </c>
      <c r="C313">
        <v>6.4</v>
      </c>
      <c r="D313" s="2" t="str">
        <f t="shared" si="8"/>
        <v>2025/12/02 10:00:00</v>
      </c>
      <c r="F313" s="2" t="str">
        <v>2026/01/08 10:00:00</v>
      </c>
      <c r="G313">
        <f t="shared" si="9"/>
        <v>46030</v>
      </c>
    </row>
    <row r="314" spans="1:7" x14ac:dyDescent="0.25">
      <c r="A314" s="1">
        <v>46030</v>
      </c>
      <c r="B314">
        <v>6.4</v>
      </c>
      <c r="C314">
        <v>6.3</v>
      </c>
      <c r="D314" s="2" t="str">
        <f t="shared" si="8"/>
        <v>2026/01/08 10:00:00</v>
      </c>
      <c r="F314" s="2" t="str">
        <v>2026/01/30 10:00:00</v>
      </c>
      <c r="G314">
        <f t="shared" si="9"/>
        <v>46052</v>
      </c>
    </row>
    <row r="315" spans="1:7" x14ac:dyDescent="0.25">
      <c r="A315" s="1">
        <v>46052</v>
      </c>
      <c r="B315">
        <v>6.3</v>
      </c>
      <c r="C315">
        <v>6.2</v>
      </c>
      <c r="D315" s="2" t="str">
        <f t="shared" si="8"/>
        <v>2026/01/30 10:00:00</v>
      </c>
      <c r="F315" s="2" t="str">
        <v>2026/03/04 10:00:00</v>
      </c>
      <c r="G315">
        <f t="shared" si="9"/>
        <v>46085</v>
      </c>
    </row>
    <row r="316" spans="1:7" x14ac:dyDescent="0.25">
      <c r="A316" s="1">
        <v>46085</v>
      </c>
      <c r="B316">
        <v>6.2</v>
      </c>
      <c r="C316">
        <v>6.1</v>
      </c>
      <c r="D316" s="2" t="str">
        <f t="shared" si="8"/>
        <v>2026/03/04 10:00:00</v>
      </c>
      <c r="F316" s="2"/>
      <c r="G316">
        <f t="shared" si="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618B-C308-4E1E-9E27-65536F78BC45}">
  <dimension ref="A1:G280"/>
  <sheetViews>
    <sheetView workbookViewId="0">
      <selection activeCell="A2" sqref="A2"/>
    </sheetView>
  </sheetViews>
  <sheetFormatPr defaultRowHeight="15" x14ac:dyDescent="0.25"/>
  <cols>
    <col min="1" max="1" width="20.28515625" bestFit="1" customWidth="1"/>
    <col min="2" max="2" width="14" customWidth="1"/>
    <col min="3" max="3" width="5.85546875" bestFit="1" customWidth="1"/>
    <col min="4" max="4" width="17.7109375" bestFit="1" customWidth="1"/>
    <col min="5" max="5" width="18.28515625" customWidth="1"/>
    <col min="6" max="6" width="20.28515625" bestFit="1" customWidth="1"/>
    <col min="7" max="7" width="7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s="1" cm="1">
        <f t="array" ref="A2:C101">_xll.BDH("EUGNEMUY Index","BN_SURVEY_MEDIAN,ACTUAL_RELEASE","2000-01-01","2026-03-19", "RELEASE_DATE_OVERRIDE", "1")</f>
        <v>37106</v>
      </c>
      <c r="B2" t="str">
        <v>#N/A N/A</v>
      </c>
      <c r="C2">
        <v>2.5</v>
      </c>
      <c r="D2" s="2" t="str">
        <f t="shared" ref="D2:D65" si="0">IFERROR(_xlfn.XLOOKUP(A2,$G:$G,$F:$F,""),"")</f>
        <v>2001/08/03 10:00:00</v>
      </c>
      <c r="F2" s="2" t="str" cm="1">
        <f t="array" ref="F2:F280">_xll.BDS("EUGNEMUY Index","ECO_FUTURE_RELEASE_DATE_LIST","START_DT=20000101","END_DT=20260319")</f>
        <v>2001/06/08 10:00:00</v>
      </c>
      <c r="G2">
        <f t="shared" ref="G2:G65" si="1">IFERROR(INT(F2),"")</f>
        <v>37050</v>
      </c>
    </row>
    <row r="3" spans="1:7" x14ac:dyDescent="0.25">
      <c r="A3" s="1">
        <v>37203</v>
      </c>
      <c r="B3" t="str">
        <v>#N/A N/A</v>
      </c>
      <c r="C3">
        <v>1.7</v>
      </c>
      <c r="D3" s="2" t="str">
        <f t="shared" si="0"/>
        <v>2001/11/08 11:00:00</v>
      </c>
      <c r="F3" s="2" t="str">
        <v>2001/07/13 10:00:00</v>
      </c>
      <c r="G3">
        <f t="shared" si="1"/>
        <v>37085</v>
      </c>
    </row>
    <row r="4" spans="1:7" x14ac:dyDescent="0.25">
      <c r="A4" s="1">
        <v>37294</v>
      </c>
      <c r="B4" t="str">
        <v>#N/A N/A</v>
      </c>
      <c r="C4">
        <v>1.4</v>
      </c>
      <c r="D4" s="2" t="str">
        <f t="shared" si="0"/>
        <v>2002/02/07 11:00:00</v>
      </c>
      <c r="F4" s="2" t="str">
        <v>2001/08/03 10:00:00</v>
      </c>
      <c r="G4">
        <f t="shared" si="1"/>
        <v>37106</v>
      </c>
    </row>
    <row r="5" spans="1:7" x14ac:dyDescent="0.25">
      <c r="A5" s="1">
        <v>37383</v>
      </c>
      <c r="B5" t="str">
        <v>#N/A N/A</v>
      </c>
      <c r="C5">
        <v>0.6</v>
      </c>
      <c r="D5" s="2" t="str">
        <f t="shared" si="0"/>
        <v>2002/05/07 10:00:00</v>
      </c>
      <c r="F5" s="2" t="str">
        <v>2001/09/13 10:00:00</v>
      </c>
      <c r="G5">
        <f t="shared" si="1"/>
        <v>37147</v>
      </c>
    </row>
    <row r="6" spans="1:7" x14ac:dyDescent="0.25">
      <c r="A6" s="1">
        <v>37446</v>
      </c>
      <c r="B6" t="str">
        <v>#N/A N/A</v>
      </c>
      <c r="C6">
        <v>0.3</v>
      </c>
      <c r="D6" s="2" t="str">
        <f t="shared" si="0"/>
        <v>2002/07/09 10:00:00</v>
      </c>
      <c r="F6" s="2" t="str">
        <v>2001/10/11 10:00:00</v>
      </c>
      <c r="G6">
        <f t="shared" si="1"/>
        <v>37175</v>
      </c>
    </row>
    <row r="7" spans="1:7" x14ac:dyDescent="0.25">
      <c r="A7" s="1">
        <v>37539</v>
      </c>
      <c r="B7" t="str">
        <v>#N/A N/A</v>
      </c>
      <c r="C7">
        <v>0.7</v>
      </c>
      <c r="D7" s="2" t="str">
        <f t="shared" si="0"/>
        <v>2002/10/10 10:00:00</v>
      </c>
      <c r="F7" s="2" t="str">
        <v>2001/11/08 11:00:00</v>
      </c>
      <c r="G7">
        <f t="shared" si="1"/>
        <v>37203</v>
      </c>
    </row>
    <row r="8" spans="1:7" x14ac:dyDescent="0.25">
      <c r="A8" s="1">
        <v>37630</v>
      </c>
      <c r="B8" t="str">
        <v>#N/A N/A</v>
      </c>
      <c r="C8">
        <v>0.8</v>
      </c>
      <c r="D8" s="2" t="str">
        <f t="shared" si="0"/>
        <v>2003/01/09 11:00:00</v>
      </c>
      <c r="F8" s="2" t="str">
        <v>2001/11/29 11:00:00</v>
      </c>
      <c r="G8">
        <f t="shared" si="1"/>
        <v>37224</v>
      </c>
    </row>
    <row r="9" spans="1:7" x14ac:dyDescent="0.25">
      <c r="A9" s="1">
        <v>37721</v>
      </c>
      <c r="B9" t="str">
        <v>#N/A N/A</v>
      </c>
      <c r="C9">
        <v>1.3</v>
      </c>
      <c r="D9" s="2" t="str">
        <f t="shared" si="0"/>
        <v>2003/04/10 10:00:00</v>
      </c>
      <c r="F9" s="2" t="str">
        <v>2002/01/10 11:00:00</v>
      </c>
      <c r="G9">
        <f t="shared" si="1"/>
        <v>37266</v>
      </c>
    </row>
    <row r="10" spans="1:7" x14ac:dyDescent="0.25">
      <c r="A10" s="1">
        <v>37812</v>
      </c>
      <c r="B10" t="str">
        <v>#N/A N/A</v>
      </c>
      <c r="C10">
        <v>0.8</v>
      </c>
      <c r="D10" s="2" t="str">
        <f t="shared" si="0"/>
        <v>2003/07/10 10:00:00</v>
      </c>
      <c r="F10" s="2" t="str">
        <v>2002/02/07 11:00:00</v>
      </c>
      <c r="G10">
        <f t="shared" si="1"/>
        <v>37294</v>
      </c>
    </row>
    <row r="11" spans="1:7" x14ac:dyDescent="0.25">
      <c r="A11" s="1">
        <v>37903</v>
      </c>
      <c r="B11" t="str">
        <v>#N/A N/A</v>
      </c>
      <c r="C11">
        <v>0.2</v>
      </c>
      <c r="D11" s="2" t="str">
        <f t="shared" si="0"/>
        <v>2003/10/09 10:00:00</v>
      </c>
      <c r="F11" s="2" t="str">
        <v>2002/03/12 11:00:00</v>
      </c>
      <c r="G11">
        <f t="shared" si="1"/>
        <v>37327</v>
      </c>
    </row>
    <row r="12" spans="1:7" x14ac:dyDescent="0.25">
      <c r="A12" s="1">
        <v>38001</v>
      </c>
      <c r="B12" t="str">
        <v>#N/A N/A</v>
      </c>
      <c r="C12">
        <v>0.3</v>
      </c>
      <c r="D12" s="2" t="str">
        <f t="shared" si="0"/>
        <v>2004/01/15 11:00:00</v>
      </c>
      <c r="F12" s="2" t="str">
        <v>2002/04/11 10:00:00</v>
      </c>
      <c r="G12">
        <f t="shared" si="1"/>
        <v>37357</v>
      </c>
    </row>
    <row r="13" spans="1:7" x14ac:dyDescent="0.25">
      <c r="A13" s="1">
        <v>38093</v>
      </c>
      <c r="B13" t="str">
        <v>#N/A N/A</v>
      </c>
      <c r="C13">
        <v>0.6</v>
      </c>
      <c r="D13" s="2" t="str">
        <f t="shared" si="0"/>
        <v>2004/04/16 09:00:00</v>
      </c>
      <c r="F13" s="2" t="str">
        <v>2002/05/07 10:00:00</v>
      </c>
      <c r="G13">
        <f t="shared" si="1"/>
        <v>37383</v>
      </c>
    </row>
    <row r="14" spans="1:7" x14ac:dyDescent="0.25">
      <c r="A14" s="1">
        <v>38183</v>
      </c>
      <c r="B14" t="str">
        <v>#N/A N/A</v>
      </c>
      <c r="C14">
        <v>1.3</v>
      </c>
      <c r="D14" s="2" t="str">
        <f t="shared" si="0"/>
        <v>2004/07/15 09:00:00</v>
      </c>
      <c r="F14" s="2" t="str">
        <v>2002/05/30 10:00:00</v>
      </c>
      <c r="G14">
        <f t="shared" si="1"/>
        <v>37406</v>
      </c>
    </row>
    <row r="15" spans="1:7" x14ac:dyDescent="0.25">
      <c r="A15" s="1">
        <v>38274</v>
      </c>
      <c r="B15" t="str">
        <v>#N/A N/A</v>
      </c>
      <c r="C15">
        <v>2</v>
      </c>
      <c r="D15" s="2" t="str">
        <f t="shared" si="0"/>
        <v>2004/10/14 09:00:00</v>
      </c>
      <c r="F15" s="2" t="str">
        <v>2002/07/09 10:00:00</v>
      </c>
      <c r="G15">
        <f t="shared" si="1"/>
        <v>37446</v>
      </c>
    </row>
    <row r="16" spans="1:7" x14ac:dyDescent="0.25">
      <c r="A16" s="1">
        <v>38364</v>
      </c>
      <c r="B16" t="str">
        <v>#N/A N/A</v>
      </c>
      <c r="C16">
        <v>1.8</v>
      </c>
      <c r="D16" s="2" t="str">
        <f t="shared" si="0"/>
        <v>2005/01/12 10:00:00</v>
      </c>
      <c r="F16" s="2" t="str">
        <v>2002/08/08 10:00:00</v>
      </c>
      <c r="G16">
        <f t="shared" si="1"/>
        <v>37476</v>
      </c>
    </row>
    <row r="17" spans="1:7" x14ac:dyDescent="0.25">
      <c r="A17" s="1">
        <v>38456</v>
      </c>
      <c r="B17" t="str">
        <v>#N/A N/A</v>
      </c>
      <c r="C17">
        <v>1.6</v>
      </c>
      <c r="D17" s="2" t="str">
        <f t="shared" si="0"/>
        <v>2005/04/14 09:00:00</v>
      </c>
      <c r="F17" s="2" t="str">
        <v>2002/09/06 10:00:00</v>
      </c>
      <c r="G17">
        <f t="shared" si="1"/>
        <v>37505</v>
      </c>
    </row>
    <row r="18" spans="1:7" x14ac:dyDescent="0.25">
      <c r="A18" s="1">
        <v>38547</v>
      </c>
      <c r="B18" t="str">
        <v>#N/A N/A</v>
      </c>
      <c r="C18">
        <v>1.4</v>
      </c>
      <c r="D18" s="2" t="str">
        <f t="shared" si="0"/>
        <v>2005/07/14 09:00:00</v>
      </c>
      <c r="F18" s="2" t="str">
        <v>2002/10/10 10:00:00</v>
      </c>
      <c r="G18">
        <f t="shared" si="1"/>
        <v>37539</v>
      </c>
    </row>
    <row r="19" spans="1:7" x14ac:dyDescent="0.25">
      <c r="A19" s="1">
        <v>38638</v>
      </c>
      <c r="B19" t="str">
        <v>#N/A N/A</v>
      </c>
      <c r="C19">
        <v>1.1000000000000001</v>
      </c>
      <c r="D19" s="2" t="str">
        <f t="shared" si="0"/>
        <v>2005/10/13 09:00:00</v>
      </c>
      <c r="F19" s="2" t="str">
        <v>2002/11/07 11:00:00</v>
      </c>
      <c r="G19">
        <f t="shared" si="1"/>
        <v>37567</v>
      </c>
    </row>
    <row r="20" spans="1:7" x14ac:dyDescent="0.25">
      <c r="A20" s="1">
        <v>38730</v>
      </c>
      <c r="B20" t="str">
        <v>#N/A N/A</v>
      </c>
      <c r="C20">
        <v>1.6</v>
      </c>
      <c r="D20" s="2" t="str">
        <f t="shared" si="0"/>
        <v>2006/01/13 10:00:00</v>
      </c>
      <c r="F20" s="2" t="str">
        <v>2002/12/04 11:00:00</v>
      </c>
      <c r="G20">
        <f t="shared" si="1"/>
        <v>37594</v>
      </c>
    </row>
    <row r="21" spans="1:7" x14ac:dyDescent="0.25">
      <c r="A21" s="1">
        <v>38819</v>
      </c>
      <c r="B21">
        <v>1.7</v>
      </c>
      <c r="C21">
        <v>1.8</v>
      </c>
      <c r="D21" s="2" t="str">
        <f t="shared" si="0"/>
        <v>2006/04/12 09:00:00</v>
      </c>
      <c r="F21" s="2" t="str">
        <v>2003/01/09 11:00:00</v>
      </c>
      <c r="G21">
        <f t="shared" si="1"/>
        <v>37630</v>
      </c>
    </row>
    <row r="22" spans="1:7" x14ac:dyDescent="0.25">
      <c r="A22" s="1">
        <v>38910</v>
      </c>
      <c r="B22">
        <v>1.9</v>
      </c>
      <c r="C22">
        <v>2</v>
      </c>
      <c r="D22" s="2" t="str">
        <f t="shared" si="0"/>
        <v>2006/07/12 09:00:00</v>
      </c>
      <c r="F22" s="2" t="str">
        <v>2003/02/06 11:00:00</v>
      </c>
      <c r="G22">
        <f t="shared" si="1"/>
        <v>37658</v>
      </c>
    </row>
    <row r="23" spans="1:7" x14ac:dyDescent="0.25">
      <c r="A23" s="1">
        <v>39001</v>
      </c>
      <c r="B23">
        <v>2.6</v>
      </c>
      <c r="C23">
        <v>2.7</v>
      </c>
      <c r="D23" s="2" t="str">
        <f t="shared" si="0"/>
        <v>2006/10/11 09:00:00</v>
      </c>
      <c r="F23" s="2" t="str">
        <v>2003/03/06 11:00:00</v>
      </c>
      <c r="G23">
        <f t="shared" si="1"/>
        <v>37686</v>
      </c>
    </row>
    <row r="24" spans="1:7" x14ac:dyDescent="0.25">
      <c r="A24" s="1">
        <v>39093</v>
      </c>
      <c r="B24">
        <v>2.7</v>
      </c>
      <c r="C24">
        <v>2.7</v>
      </c>
      <c r="D24" s="2" t="str">
        <f t="shared" si="0"/>
        <v>2007/01/11 10:00:00</v>
      </c>
      <c r="F24" s="2" t="str">
        <v>2003/04/10 10:00:00</v>
      </c>
      <c r="G24">
        <f t="shared" si="1"/>
        <v>37721</v>
      </c>
    </row>
    <row r="25" spans="1:7" x14ac:dyDescent="0.25">
      <c r="A25" s="1">
        <v>39184</v>
      </c>
      <c r="B25">
        <v>3.3</v>
      </c>
      <c r="C25">
        <v>3.3</v>
      </c>
      <c r="D25" s="2" t="str">
        <f t="shared" si="0"/>
        <v>2007/04/12 09:00:00</v>
      </c>
      <c r="F25" s="2" t="str">
        <v>2003/05/08 10:00:00</v>
      </c>
      <c r="G25">
        <f t="shared" si="1"/>
        <v>37749</v>
      </c>
    </row>
    <row r="26" spans="1:7" x14ac:dyDescent="0.25">
      <c r="A26" s="1">
        <v>39234</v>
      </c>
      <c r="B26">
        <v>3</v>
      </c>
      <c r="C26">
        <v>3</v>
      </c>
      <c r="D26" s="2" t="str">
        <f t="shared" si="0"/>
        <v>2007/06/01 09:00:00</v>
      </c>
      <c r="F26" s="2" t="str">
        <v>2003/06/05 10:00:00</v>
      </c>
      <c r="G26">
        <f t="shared" si="1"/>
        <v>37777</v>
      </c>
    </row>
    <row r="27" spans="1:7" x14ac:dyDescent="0.25">
      <c r="A27" s="1">
        <v>39366</v>
      </c>
      <c r="B27">
        <v>2.5</v>
      </c>
      <c r="C27">
        <v>2.5</v>
      </c>
      <c r="D27" s="2" t="str">
        <f t="shared" si="0"/>
        <v>2007/10/11 09:00:00</v>
      </c>
      <c r="F27" s="2" t="str">
        <v>2003/07/10 10:00:00</v>
      </c>
      <c r="G27">
        <f t="shared" si="1"/>
        <v>37812</v>
      </c>
    </row>
    <row r="28" spans="1:7" x14ac:dyDescent="0.25">
      <c r="A28" s="1">
        <v>39456</v>
      </c>
      <c r="B28">
        <v>2.7</v>
      </c>
      <c r="C28">
        <v>2.7</v>
      </c>
      <c r="D28" s="2" t="str">
        <f t="shared" si="0"/>
        <v>2008/01/09 10:00:00</v>
      </c>
      <c r="F28" s="2" t="str">
        <v>2003/08/06 10:00:00</v>
      </c>
      <c r="G28">
        <f t="shared" si="1"/>
        <v>37839</v>
      </c>
    </row>
    <row r="29" spans="1:7" x14ac:dyDescent="0.25">
      <c r="A29" s="1">
        <v>39547</v>
      </c>
      <c r="B29">
        <v>2.2000000000000002</v>
      </c>
      <c r="C29">
        <v>2.2000000000000002</v>
      </c>
      <c r="D29" s="2" t="str">
        <f t="shared" si="0"/>
        <v>2008/04/09 09:00:00</v>
      </c>
      <c r="F29" s="2" t="str">
        <v>2003/09/09 10:00:00</v>
      </c>
      <c r="G29">
        <f t="shared" si="1"/>
        <v>37873</v>
      </c>
    </row>
    <row r="30" spans="1:7" x14ac:dyDescent="0.25">
      <c r="A30" s="1">
        <v>39638</v>
      </c>
      <c r="B30">
        <v>2.2000000000000002</v>
      </c>
      <c r="C30">
        <v>2.1</v>
      </c>
      <c r="D30" s="2" t="str">
        <f t="shared" si="0"/>
        <v>2008/07/09 09:00:00</v>
      </c>
      <c r="F30" s="2" t="str">
        <v>2003/10/09 10:00:00</v>
      </c>
      <c r="G30">
        <f t="shared" si="1"/>
        <v>37903</v>
      </c>
    </row>
    <row r="31" spans="1:7" x14ac:dyDescent="0.25">
      <c r="A31" s="1">
        <v>39729</v>
      </c>
      <c r="B31">
        <v>1.4</v>
      </c>
      <c r="C31">
        <v>1.4</v>
      </c>
      <c r="D31" s="2" t="str">
        <f t="shared" si="0"/>
        <v>2008/10/08 09:00:00</v>
      </c>
      <c r="F31" s="2" t="str">
        <v>2003/11/06 11:00:00</v>
      </c>
      <c r="G31">
        <f t="shared" si="1"/>
        <v>37931</v>
      </c>
    </row>
    <row r="32" spans="1:7" x14ac:dyDescent="0.25">
      <c r="A32" s="1">
        <v>39821</v>
      </c>
      <c r="B32">
        <v>0.6</v>
      </c>
      <c r="C32">
        <v>0.6</v>
      </c>
      <c r="D32" s="2" t="str">
        <f t="shared" si="0"/>
        <v>2009/01/08 10:00:00</v>
      </c>
      <c r="F32" s="2" t="str">
        <v>2003/11/14 11:00:00</v>
      </c>
      <c r="G32">
        <f t="shared" si="1"/>
        <v>37939</v>
      </c>
    </row>
    <row r="33" spans="1:7" x14ac:dyDescent="0.25">
      <c r="A33" s="1">
        <v>39910</v>
      </c>
      <c r="B33">
        <v>-1.3</v>
      </c>
      <c r="C33">
        <v>-1.5</v>
      </c>
      <c r="D33" s="2" t="str">
        <f t="shared" si="0"/>
        <v>2009/04/07 09:00:00</v>
      </c>
      <c r="F33" s="2" t="str">
        <v>2003/12/03 11:00:00</v>
      </c>
      <c r="G33">
        <f t="shared" si="1"/>
        <v>37958</v>
      </c>
    </row>
    <row r="34" spans="1:7" x14ac:dyDescent="0.25">
      <c r="A34" s="1">
        <v>40002</v>
      </c>
      <c r="B34">
        <v>-4.8</v>
      </c>
      <c r="C34">
        <v>-4.9000000000000004</v>
      </c>
      <c r="D34" s="2" t="str">
        <f t="shared" si="0"/>
        <v>2009/07/08 09:00:00</v>
      </c>
      <c r="F34" s="2" t="str">
        <v>2004/01/15 11:00:00</v>
      </c>
      <c r="G34">
        <f t="shared" si="1"/>
        <v>38001</v>
      </c>
    </row>
    <row r="35" spans="1:7" x14ac:dyDescent="0.25">
      <c r="A35" s="1">
        <v>40093</v>
      </c>
      <c r="B35">
        <v>-4.7</v>
      </c>
      <c r="C35">
        <v>-4.8</v>
      </c>
      <c r="D35" s="2" t="str">
        <f t="shared" si="0"/>
        <v>2009/10/07 09:00:00</v>
      </c>
      <c r="F35" s="2" t="str">
        <v>2004/02/13 11:00:00</v>
      </c>
      <c r="G35">
        <f t="shared" si="1"/>
        <v>38030</v>
      </c>
    </row>
    <row r="36" spans="1:7" x14ac:dyDescent="0.25">
      <c r="A36" s="1">
        <v>40186</v>
      </c>
      <c r="B36">
        <v>-4.0999999999999996</v>
      </c>
      <c r="C36">
        <v>-4</v>
      </c>
      <c r="D36" s="2" t="str">
        <f t="shared" si="0"/>
        <v>2010/01/08 10:00:00</v>
      </c>
      <c r="F36" s="2" t="str">
        <v>2004/03/04 10:00:00</v>
      </c>
      <c r="G36">
        <f t="shared" si="1"/>
        <v>38050</v>
      </c>
    </row>
    <row r="37" spans="1:7" x14ac:dyDescent="0.25">
      <c r="A37" s="1">
        <v>40275</v>
      </c>
      <c r="B37">
        <v>-2.1</v>
      </c>
      <c r="C37">
        <v>-2.2000000000000002</v>
      </c>
      <c r="D37" s="2" t="str">
        <f t="shared" si="0"/>
        <v>2010/04/07 09:00:00</v>
      </c>
      <c r="F37" s="2" t="str">
        <v>2004/04/16 09:00:00</v>
      </c>
      <c r="G37">
        <f t="shared" si="1"/>
        <v>38093</v>
      </c>
    </row>
    <row r="38" spans="1:7" x14ac:dyDescent="0.25">
      <c r="A38" s="1">
        <v>40366</v>
      </c>
      <c r="B38">
        <v>0.6</v>
      </c>
      <c r="C38">
        <v>0.6</v>
      </c>
      <c r="D38" s="2" t="str">
        <f t="shared" si="0"/>
        <v>2010/07/07 09:00:00</v>
      </c>
      <c r="F38" s="2" t="str">
        <v>2004/05/14 09:00:00</v>
      </c>
      <c r="G38">
        <f t="shared" si="1"/>
        <v>38121</v>
      </c>
    </row>
    <row r="39" spans="1:7" x14ac:dyDescent="0.25">
      <c r="A39" s="1">
        <v>40457</v>
      </c>
      <c r="B39">
        <v>1.9</v>
      </c>
      <c r="C39">
        <v>1.9</v>
      </c>
      <c r="D39" s="2" t="str">
        <f t="shared" si="0"/>
        <v>2010/10/06 09:00:00</v>
      </c>
      <c r="F39" s="2" t="str">
        <v>2004/06/01 09:00:00</v>
      </c>
      <c r="G39">
        <f t="shared" si="1"/>
        <v>38139</v>
      </c>
    </row>
    <row r="40" spans="1:7" x14ac:dyDescent="0.25">
      <c r="A40" s="1">
        <v>40550</v>
      </c>
      <c r="B40">
        <v>1.9</v>
      </c>
      <c r="C40">
        <v>1.9</v>
      </c>
      <c r="D40" s="2" t="str">
        <f t="shared" si="0"/>
        <v>2011/01/07 10:00:00</v>
      </c>
      <c r="F40" s="2" t="str">
        <v>2004/07/15 09:00:00</v>
      </c>
      <c r="G40">
        <f t="shared" si="1"/>
        <v>38183</v>
      </c>
    </row>
    <row r="41" spans="1:7" x14ac:dyDescent="0.25">
      <c r="A41" s="1">
        <v>40639</v>
      </c>
      <c r="B41">
        <v>2</v>
      </c>
      <c r="C41">
        <v>2</v>
      </c>
      <c r="D41" s="2" t="str">
        <f t="shared" si="0"/>
        <v>2011/04/06 09:00:00</v>
      </c>
      <c r="F41" s="2" t="str">
        <v>2004/08/13 09:00:00</v>
      </c>
      <c r="G41">
        <f t="shared" si="1"/>
        <v>38212</v>
      </c>
    </row>
    <row r="42" spans="1:7" x14ac:dyDescent="0.25">
      <c r="A42" s="1">
        <v>40702</v>
      </c>
      <c r="B42">
        <v>2.5</v>
      </c>
      <c r="C42">
        <v>2.5</v>
      </c>
      <c r="D42" s="2" t="str">
        <f t="shared" si="0"/>
        <v>2011/06/08 09:00:00</v>
      </c>
      <c r="F42" s="2" t="str">
        <v>2004/09/07 09:00:00</v>
      </c>
      <c r="G42">
        <f t="shared" si="1"/>
        <v>38237</v>
      </c>
    </row>
    <row r="43" spans="1:7" x14ac:dyDescent="0.25">
      <c r="A43" s="1">
        <v>40792</v>
      </c>
      <c r="B43">
        <v>1.7</v>
      </c>
      <c r="C43">
        <v>1.6</v>
      </c>
      <c r="D43" s="2" t="str">
        <f t="shared" si="0"/>
        <v>2011/09/06 09:00:00</v>
      </c>
      <c r="F43" s="2" t="str">
        <v>2004/10/14 09:00:00</v>
      </c>
      <c r="G43">
        <f t="shared" si="1"/>
        <v>38274</v>
      </c>
    </row>
    <row r="44" spans="1:7" x14ac:dyDescent="0.25">
      <c r="A44" s="1">
        <v>40883</v>
      </c>
      <c r="B44">
        <v>1.4</v>
      </c>
      <c r="C44">
        <v>1.4</v>
      </c>
      <c r="D44" s="2" t="str">
        <f t="shared" si="0"/>
        <v>2011/12/06 10:00:00</v>
      </c>
      <c r="F44" s="2" t="str">
        <v>2004/11/12 10:00:00</v>
      </c>
      <c r="G44">
        <f t="shared" si="1"/>
        <v>38303</v>
      </c>
    </row>
    <row r="45" spans="1:7" x14ac:dyDescent="0.25">
      <c r="A45" s="1">
        <v>40974</v>
      </c>
      <c r="B45">
        <v>0.7</v>
      </c>
      <c r="C45">
        <v>0.7</v>
      </c>
      <c r="D45" s="2" t="str">
        <f t="shared" si="0"/>
        <v>2012/03/06 10:00:00</v>
      </c>
      <c r="F45" s="2" t="str">
        <v>2004/12/01 10:00:00</v>
      </c>
      <c r="G45">
        <f t="shared" si="1"/>
        <v>38322</v>
      </c>
    </row>
    <row r="46" spans="1:7" x14ac:dyDescent="0.25">
      <c r="A46" s="1">
        <v>41066</v>
      </c>
      <c r="B46">
        <v>0</v>
      </c>
      <c r="C46">
        <v>-0.1</v>
      </c>
      <c r="D46" s="2" t="str">
        <f t="shared" si="0"/>
        <v>2012/06/06 09:00:00</v>
      </c>
      <c r="F46" s="2" t="str">
        <v>2005/01/12 10:00:00</v>
      </c>
      <c r="G46">
        <f t="shared" si="1"/>
        <v>38364</v>
      </c>
    </row>
    <row r="47" spans="1:7" x14ac:dyDescent="0.25">
      <c r="A47" s="1">
        <v>41158</v>
      </c>
      <c r="B47">
        <v>-0.4</v>
      </c>
      <c r="C47">
        <v>-0.5</v>
      </c>
      <c r="D47" s="2" t="str">
        <f t="shared" si="0"/>
        <v>2012/09/06 09:00:00</v>
      </c>
      <c r="F47" s="2" t="str">
        <v>2005/02/15 10:00:00</v>
      </c>
      <c r="G47">
        <f t="shared" si="1"/>
        <v>38398</v>
      </c>
    </row>
    <row r="48" spans="1:7" x14ac:dyDescent="0.25">
      <c r="A48" s="1">
        <v>41249</v>
      </c>
      <c r="B48">
        <v>-0.6</v>
      </c>
      <c r="C48">
        <v>-0.6</v>
      </c>
      <c r="D48" s="2" t="str">
        <f t="shared" si="0"/>
        <v>2012/12/06 10:00:00</v>
      </c>
      <c r="F48" s="2" t="str">
        <v>2005/03/02 10:00:00</v>
      </c>
      <c r="G48">
        <f t="shared" si="1"/>
        <v>38413</v>
      </c>
    </row>
    <row r="49" spans="1:7" x14ac:dyDescent="0.25">
      <c r="A49" s="1">
        <v>41339</v>
      </c>
      <c r="B49">
        <v>-0.9</v>
      </c>
      <c r="C49">
        <v>-0.9</v>
      </c>
      <c r="D49" s="2" t="str">
        <f t="shared" si="0"/>
        <v>2013/03/06 10:00:00</v>
      </c>
      <c r="F49" s="2" t="str">
        <v>2005/04/14 09:00:00</v>
      </c>
      <c r="G49">
        <f t="shared" si="1"/>
        <v>38456</v>
      </c>
    </row>
    <row r="50" spans="1:7" x14ac:dyDescent="0.25">
      <c r="A50" s="1">
        <v>41430</v>
      </c>
      <c r="B50">
        <v>-1</v>
      </c>
      <c r="C50">
        <v>-1.1000000000000001</v>
      </c>
      <c r="D50" s="2" t="str">
        <f t="shared" si="0"/>
        <v>2013/06/05 09:00:00</v>
      </c>
      <c r="F50" s="2" t="str">
        <v>2005/05/12 09:00:00</v>
      </c>
      <c r="G50">
        <f t="shared" si="1"/>
        <v>38484</v>
      </c>
    </row>
    <row r="51" spans="1:7" x14ac:dyDescent="0.25">
      <c r="A51" s="1">
        <v>41521</v>
      </c>
      <c r="B51">
        <v>-0.7</v>
      </c>
      <c r="C51">
        <v>-0.5</v>
      </c>
      <c r="D51" s="2" t="str">
        <f t="shared" si="0"/>
        <v>2013/09/04 09:00:00</v>
      </c>
      <c r="F51" s="2" t="str">
        <v>2005/06/01 09:00:00</v>
      </c>
      <c r="G51">
        <f t="shared" si="1"/>
        <v>38504</v>
      </c>
    </row>
    <row r="52" spans="1:7" x14ac:dyDescent="0.25">
      <c r="A52" s="1">
        <v>41612</v>
      </c>
      <c r="B52">
        <v>-0.4</v>
      </c>
      <c r="C52">
        <v>-0.4</v>
      </c>
      <c r="D52" s="2" t="str">
        <f t="shared" si="0"/>
        <v>2013/12/04 10:00:00</v>
      </c>
      <c r="F52" s="2" t="str">
        <v>2005/07/14 09:00:00</v>
      </c>
      <c r="G52">
        <f t="shared" si="1"/>
        <v>38547</v>
      </c>
    </row>
    <row r="53" spans="1:7" x14ac:dyDescent="0.25">
      <c r="A53" s="1">
        <v>41703</v>
      </c>
      <c r="B53">
        <v>0.5</v>
      </c>
      <c r="C53">
        <v>0.5</v>
      </c>
      <c r="D53" s="2" t="str">
        <f t="shared" si="0"/>
        <v>2014/03/05 10:00:00</v>
      </c>
      <c r="F53" s="2" t="str">
        <v>2005/08/11 09:00:00</v>
      </c>
      <c r="G53">
        <f t="shared" si="1"/>
        <v>38575</v>
      </c>
    </row>
    <row r="54" spans="1:7" x14ac:dyDescent="0.25">
      <c r="A54" s="1">
        <v>41794</v>
      </c>
      <c r="B54">
        <v>0.9</v>
      </c>
      <c r="C54">
        <v>0.9</v>
      </c>
      <c r="D54" s="2" t="str">
        <f t="shared" si="0"/>
        <v>2014/06/04 09:00:00</v>
      </c>
      <c r="F54" s="2" t="str">
        <v>2005/08/31 09:00:00</v>
      </c>
      <c r="G54">
        <f t="shared" si="1"/>
        <v>38595</v>
      </c>
    </row>
    <row r="55" spans="1:7" x14ac:dyDescent="0.25">
      <c r="A55" s="1">
        <v>41887</v>
      </c>
      <c r="B55">
        <v>0.7</v>
      </c>
      <c r="C55">
        <v>0.7</v>
      </c>
      <c r="D55" s="2" t="str">
        <f t="shared" si="0"/>
        <v>2014/09/05 09:00:00</v>
      </c>
      <c r="F55" s="2" t="str">
        <v>2005/10/13 09:00:00</v>
      </c>
      <c r="G55">
        <f t="shared" si="1"/>
        <v>38638</v>
      </c>
    </row>
    <row r="56" spans="1:7" x14ac:dyDescent="0.25">
      <c r="A56" s="1">
        <v>41978</v>
      </c>
      <c r="B56">
        <v>0.8</v>
      </c>
      <c r="C56">
        <v>0.8</v>
      </c>
      <c r="D56" s="2" t="str">
        <f t="shared" si="0"/>
        <v>2014/12/05 10:00:00</v>
      </c>
      <c r="F56" s="2" t="str">
        <v>2005/11/15 10:00:00</v>
      </c>
      <c r="G56">
        <f t="shared" si="1"/>
        <v>38671</v>
      </c>
    </row>
    <row r="57" spans="1:7" x14ac:dyDescent="0.25">
      <c r="A57" s="1">
        <v>42069</v>
      </c>
      <c r="B57">
        <v>0.9</v>
      </c>
      <c r="C57">
        <v>0.9</v>
      </c>
      <c r="D57" s="2" t="str">
        <f t="shared" si="0"/>
        <v>2015/03/06 10:00:00</v>
      </c>
      <c r="F57" s="2" t="str">
        <v>2005/11/30 10:00:00</v>
      </c>
      <c r="G57">
        <f t="shared" si="1"/>
        <v>38686</v>
      </c>
    </row>
    <row r="58" spans="1:7" x14ac:dyDescent="0.25">
      <c r="A58" s="1">
        <v>42164</v>
      </c>
      <c r="B58">
        <v>1</v>
      </c>
      <c r="C58">
        <v>1</v>
      </c>
      <c r="D58" s="2" t="str">
        <f t="shared" si="0"/>
        <v>2015/06/09 09:00:00</v>
      </c>
      <c r="F58" s="2" t="str">
        <v>2006/01/13 10:00:00</v>
      </c>
      <c r="G58">
        <f t="shared" si="1"/>
        <v>38730</v>
      </c>
    </row>
    <row r="59" spans="1:7" x14ac:dyDescent="0.25">
      <c r="A59" s="1">
        <v>42255</v>
      </c>
      <c r="B59">
        <v>1.3</v>
      </c>
      <c r="C59">
        <v>1.5</v>
      </c>
      <c r="D59" s="2" t="str">
        <f t="shared" si="0"/>
        <v>2015/09/08 09:00:00</v>
      </c>
      <c r="F59" s="2" t="str">
        <v>2006/02/14 10:00:00</v>
      </c>
      <c r="G59">
        <f t="shared" si="1"/>
        <v>38762</v>
      </c>
    </row>
    <row r="60" spans="1:7" x14ac:dyDescent="0.25">
      <c r="A60" s="1">
        <v>42346</v>
      </c>
      <c r="B60">
        <v>1.6</v>
      </c>
      <c r="C60">
        <v>1.6</v>
      </c>
      <c r="D60" s="2" t="str">
        <f t="shared" si="0"/>
        <v>2015/12/08 10:00:00</v>
      </c>
      <c r="F60" s="2" t="str">
        <v>2006/03/03 10:00:00</v>
      </c>
      <c r="G60">
        <f t="shared" si="1"/>
        <v>38779</v>
      </c>
    </row>
    <row r="61" spans="1:7" x14ac:dyDescent="0.25">
      <c r="A61" s="1">
        <v>42437</v>
      </c>
      <c r="B61">
        <v>1.5</v>
      </c>
      <c r="C61">
        <v>1.6</v>
      </c>
      <c r="D61" s="2" t="str">
        <f t="shared" si="0"/>
        <v>2016/03/08 10:00:00</v>
      </c>
      <c r="F61" s="2" t="str">
        <v>2006/04/12 09:00:00</v>
      </c>
      <c r="G61">
        <f t="shared" si="1"/>
        <v>38819</v>
      </c>
    </row>
    <row r="62" spans="1:7" x14ac:dyDescent="0.25">
      <c r="A62" s="1">
        <v>42528</v>
      </c>
      <c r="B62">
        <v>1.5</v>
      </c>
      <c r="C62">
        <v>1.7</v>
      </c>
      <c r="D62" s="2" t="str">
        <f t="shared" si="0"/>
        <v>2016/06/07 09:00:00</v>
      </c>
      <c r="F62" s="2" t="str">
        <v>2006/05/11 09:00:00</v>
      </c>
      <c r="G62">
        <f t="shared" si="1"/>
        <v>38848</v>
      </c>
    </row>
    <row r="63" spans="1:7" x14ac:dyDescent="0.25">
      <c r="A63" s="1">
        <v>42619</v>
      </c>
      <c r="B63">
        <v>1.6</v>
      </c>
      <c r="C63">
        <v>1.6</v>
      </c>
      <c r="D63" s="2" t="str">
        <f t="shared" si="0"/>
        <v>2016/09/06 09:00:00</v>
      </c>
      <c r="F63" s="2" t="str">
        <v>2006/06/01 09:00:00</v>
      </c>
      <c r="G63">
        <f t="shared" si="1"/>
        <v>38869</v>
      </c>
    </row>
    <row r="64" spans="1:7" x14ac:dyDescent="0.25">
      <c r="A64" s="1">
        <v>42710</v>
      </c>
      <c r="B64">
        <v>1.6</v>
      </c>
      <c r="C64">
        <v>1.7</v>
      </c>
      <c r="D64" s="2" t="str">
        <f t="shared" si="0"/>
        <v>2016/12/06 10:00:00</v>
      </c>
      <c r="F64" s="2" t="str">
        <v>2006/07/12 09:00:00</v>
      </c>
      <c r="G64">
        <f t="shared" si="1"/>
        <v>38910</v>
      </c>
    </row>
    <row r="65" spans="1:7" x14ac:dyDescent="0.25">
      <c r="A65" s="1">
        <v>42801</v>
      </c>
      <c r="B65">
        <v>1.7</v>
      </c>
      <c r="C65">
        <v>1.7</v>
      </c>
      <c r="D65" s="2" t="str">
        <f t="shared" si="0"/>
        <v>2017/03/07 10:00:00</v>
      </c>
      <c r="F65" s="2" t="str">
        <v>2006/08/14 09:00:00</v>
      </c>
      <c r="G65">
        <f t="shared" si="1"/>
        <v>38943</v>
      </c>
    </row>
    <row r="66" spans="1:7" x14ac:dyDescent="0.25">
      <c r="A66" s="1">
        <v>42894</v>
      </c>
      <c r="B66">
        <v>1.7</v>
      </c>
      <c r="C66">
        <v>1.9</v>
      </c>
      <c r="D66" s="2" t="str">
        <f t="shared" ref="D66:D101" si="2">IFERROR(_xlfn.XLOOKUP(A66,$G:$G,$F:$F,""),"")</f>
        <v>2017/06/08 09:00:00</v>
      </c>
      <c r="F66" s="2" t="str">
        <v>2006/09/01 09:00:00</v>
      </c>
      <c r="G66">
        <f t="shared" ref="G66:G129" si="3">IFERROR(INT(F66),"")</f>
        <v>38961</v>
      </c>
    </row>
    <row r="67" spans="1:7" x14ac:dyDescent="0.25">
      <c r="A67" s="1">
        <v>42985</v>
      </c>
      <c r="B67">
        <v>2.2000000000000002</v>
      </c>
      <c r="C67">
        <v>2.2999999999999998</v>
      </c>
      <c r="D67" s="2" t="str">
        <f t="shared" si="2"/>
        <v>2017/09/07 09:00:00</v>
      </c>
      <c r="F67" s="2" t="str">
        <v>2006/10/11 09:00:00</v>
      </c>
      <c r="G67">
        <f t="shared" si="3"/>
        <v>39001</v>
      </c>
    </row>
    <row r="68" spans="1:7" x14ac:dyDescent="0.25">
      <c r="A68" s="1">
        <v>43076</v>
      </c>
      <c r="B68">
        <v>2.5</v>
      </c>
      <c r="C68">
        <v>2.6</v>
      </c>
      <c r="D68" s="2" t="str">
        <f t="shared" si="2"/>
        <v>2017/12/07 10:00:00</v>
      </c>
      <c r="F68" s="2" t="str">
        <v>2006/11/14 10:00:00</v>
      </c>
      <c r="G68">
        <f t="shared" si="3"/>
        <v>39035</v>
      </c>
    </row>
    <row r="69" spans="1:7" x14ac:dyDescent="0.25">
      <c r="A69" s="1">
        <v>43166</v>
      </c>
      <c r="B69">
        <v>2.7</v>
      </c>
      <c r="C69">
        <v>2.7</v>
      </c>
      <c r="D69" s="2" t="str">
        <f t="shared" si="2"/>
        <v>2018/03/07 10:00:00</v>
      </c>
      <c r="F69" s="2" t="str">
        <v>2007/01/11 10:00:00</v>
      </c>
      <c r="G69">
        <f t="shared" si="3"/>
        <v>39093</v>
      </c>
    </row>
    <row r="70" spans="1:7" x14ac:dyDescent="0.25">
      <c r="A70" s="1">
        <v>43258</v>
      </c>
      <c r="B70">
        <v>2.5</v>
      </c>
      <c r="C70">
        <v>2.5</v>
      </c>
      <c r="D70" s="2" t="str">
        <f t="shared" si="2"/>
        <v>2018/06/07 09:00:00</v>
      </c>
      <c r="F70" s="2" t="str">
        <v>2007/02/13 10:00:00</v>
      </c>
      <c r="G70">
        <f t="shared" si="3"/>
        <v>39126</v>
      </c>
    </row>
    <row r="71" spans="1:7" x14ac:dyDescent="0.25">
      <c r="A71" s="1">
        <v>43350</v>
      </c>
      <c r="B71">
        <v>2.2000000000000002</v>
      </c>
      <c r="C71">
        <v>2.1</v>
      </c>
      <c r="D71" s="2" t="str">
        <f t="shared" si="2"/>
        <v>2018/09/07 09:00:00</v>
      </c>
      <c r="F71" s="2" t="str">
        <v>2007/03/06 10:00:00</v>
      </c>
      <c r="G71">
        <f t="shared" si="3"/>
        <v>39147</v>
      </c>
    </row>
    <row r="72" spans="1:7" x14ac:dyDescent="0.25">
      <c r="A72" s="1">
        <v>43441</v>
      </c>
      <c r="B72">
        <v>1.7</v>
      </c>
      <c r="C72">
        <v>1.6</v>
      </c>
      <c r="D72" s="2" t="str">
        <f t="shared" si="2"/>
        <v>2018/12/07 10:00:00</v>
      </c>
      <c r="F72" s="2" t="str">
        <v>2007/04/12 09:00:00</v>
      </c>
      <c r="G72">
        <f t="shared" si="3"/>
        <v>39184</v>
      </c>
    </row>
    <row r="73" spans="1:7" x14ac:dyDescent="0.25">
      <c r="A73" s="1">
        <v>43531</v>
      </c>
      <c r="B73">
        <v>1.2</v>
      </c>
      <c r="C73">
        <v>1.1000000000000001</v>
      </c>
      <c r="D73" s="2" t="str">
        <f t="shared" si="2"/>
        <v>2019/03/07 10:00:00</v>
      </c>
      <c r="F73" s="2" t="str">
        <v>2007/05/15 09:00:00</v>
      </c>
      <c r="G73">
        <f t="shared" si="3"/>
        <v>39217</v>
      </c>
    </row>
    <row r="74" spans="1:7" x14ac:dyDescent="0.25">
      <c r="A74" s="1">
        <v>43622</v>
      </c>
      <c r="B74">
        <v>1.2</v>
      </c>
      <c r="C74">
        <v>1.2</v>
      </c>
      <c r="D74" s="2" t="str">
        <f t="shared" si="2"/>
        <v>2019/06/06 09:00:00</v>
      </c>
      <c r="F74" s="2" t="str">
        <v>2007/06/01 09:00:00</v>
      </c>
      <c r="G74">
        <f t="shared" si="3"/>
        <v>39234</v>
      </c>
    </row>
    <row r="75" spans="1:7" x14ac:dyDescent="0.25">
      <c r="A75" s="1">
        <v>43714</v>
      </c>
      <c r="B75">
        <v>1.1000000000000001</v>
      </c>
      <c r="C75">
        <v>1.2</v>
      </c>
      <c r="D75" s="2" t="str">
        <f t="shared" si="2"/>
        <v>2019/09/06 09:00:00</v>
      </c>
      <c r="F75" s="2" t="str">
        <v>2007/07/12 09:00:00</v>
      </c>
      <c r="G75">
        <f t="shared" si="3"/>
        <v>39275</v>
      </c>
    </row>
    <row r="76" spans="1:7" x14ac:dyDescent="0.25">
      <c r="A76" s="1">
        <v>43804</v>
      </c>
      <c r="B76">
        <v>1.2</v>
      </c>
      <c r="C76">
        <v>1.2</v>
      </c>
      <c r="D76" s="2" t="str">
        <f t="shared" si="2"/>
        <v>2019/12/05 10:00:00</v>
      </c>
      <c r="F76" s="2" t="str">
        <v>2007/08/14 09:00:00</v>
      </c>
      <c r="G76">
        <f t="shared" si="3"/>
        <v>39308</v>
      </c>
    </row>
    <row r="77" spans="1:7" x14ac:dyDescent="0.25">
      <c r="A77" s="1">
        <v>43900</v>
      </c>
      <c r="B77">
        <v>0.9</v>
      </c>
      <c r="C77">
        <v>1</v>
      </c>
      <c r="D77" s="2" t="str">
        <f t="shared" si="2"/>
        <v>2020/03/10 10:00:00</v>
      </c>
      <c r="F77" s="2" t="str">
        <v>2007/09/04 09:00:00</v>
      </c>
      <c r="G77">
        <f t="shared" si="3"/>
        <v>39329</v>
      </c>
    </row>
    <row r="78" spans="1:7" x14ac:dyDescent="0.25">
      <c r="A78" s="1">
        <v>43991</v>
      </c>
      <c r="B78">
        <v>-3.2</v>
      </c>
      <c r="C78">
        <v>-3.1</v>
      </c>
      <c r="D78" s="2" t="str">
        <f t="shared" si="2"/>
        <v>2020/06/09 09:00:00</v>
      </c>
      <c r="F78" s="2" t="str">
        <v>2007/10/11 09:00:00</v>
      </c>
      <c r="G78">
        <f t="shared" si="3"/>
        <v>39366</v>
      </c>
    </row>
    <row r="79" spans="1:7" x14ac:dyDescent="0.25">
      <c r="A79" s="1">
        <v>44082</v>
      </c>
      <c r="B79">
        <v>-15</v>
      </c>
      <c r="C79">
        <v>-14.7</v>
      </c>
      <c r="D79" s="2" t="str">
        <f t="shared" si="2"/>
        <v>2020/09/08 09:00:00</v>
      </c>
      <c r="F79" s="2" t="str">
        <v>2007/11/14 10:00:00</v>
      </c>
      <c r="G79">
        <f t="shared" si="3"/>
        <v>39400</v>
      </c>
    </row>
    <row r="80" spans="1:7" x14ac:dyDescent="0.25">
      <c r="A80" s="1">
        <v>44173</v>
      </c>
      <c r="B80">
        <v>-4.4000000000000004</v>
      </c>
      <c r="C80">
        <v>-4.3</v>
      </c>
      <c r="D80" s="2" t="str">
        <f t="shared" si="2"/>
        <v>2020/12/08 10:00:00</v>
      </c>
      <c r="F80" s="2" t="str">
        <v>2007/11/30 10:00:00</v>
      </c>
      <c r="G80">
        <f t="shared" si="3"/>
        <v>39416</v>
      </c>
    </row>
    <row r="81" spans="1:7" x14ac:dyDescent="0.25">
      <c r="A81" s="1">
        <v>44264</v>
      </c>
      <c r="B81">
        <v>-5</v>
      </c>
      <c r="C81">
        <v>-4.9000000000000004</v>
      </c>
      <c r="D81" s="2" t="str">
        <f t="shared" si="2"/>
        <v>2021/03/09 10:00:00</v>
      </c>
      <c r="F81" s="2" t="str">
        <v>2008/01/09 10:00:00</v>
      </c>
      <c r="G81">
        <f t="shared" si="3"/>
        <v>39456</v>
      </c>
    </row>
    <row r="82" spans="1:7" x14ac:dyDescent="0.25">
      <c r="A82" s="1">
        <v>44355</v>
      </c>
      <c r="B82">
        <v>-1.8</v>
      </c>
      <c r="C82">
        <v>-1.3</v>
      </c>
      <c r="D82" s="2" t="str">
        <f t="shared" si="2"/>
        <v>2021/06/08 09:00:00</v>
      </c>
      <c r="F82" s="2" t="str">
        <v>2008/02/14 10:00:00</v>
      </c>
      <c r="G82">
        <f t="shared" si="3"/>
        <v>39492</v>
      </c>
    </row>
    <row r="83" spans="1:7" x14ac:dyDescent="0.25">
      <c r="A83" s="1">
        <v>44446</v>
      </c>
      <c r="B83">
        <v>13.6</v>
      </c>
      <c r="C83">
        <v>14.3</v>
      </c>
      <c r="D83" s="2" t="str">
        <f t="shared" si="2"/>
        <v>2021/09/07 09:00:00</v>
      </c>
      <c r="F83" s="2" t="str">
        <v>2008/03/04 10:00:00</v>
      </c>
      <c r="G83">
        <f t="shared" si="3"/>
        <v>39511</v>
      </c>
    </row>
    <row r="84" spans="1:7" x14ac:dyDescent="0.25">
      <c r="A84" s="1">
        <v>44537</v>
      </c>
      <c r="B84">
        <v>3.7</v>
      </c>
      <c r="C84">
        <v>3.9</v>
      </c>
      <c r="D84" s="2" t="str">
        <f t="shared" si="2"/>
        <v>2021/12/07 10:00:00</v>
      </c>
      <c r="F84" s="2" t="str">
        <v>2008/04/09 09:00:00</v>
      </c>
      <c r="G84">
        <f t="shared" si="3"/>
        <v>39547</v>
      </c>
    </row>
    <row r="85" spans="1:7" x14ac:dyDescent="0.25">
      <c r="A85" s="1">
        <v>44628</v>
      </c>
      <c r="B85">
        <v>4.5999999999999996</v>
      </c>
      <c r="C85">
        <v>4.5999999999999996</v>
      </c>
      <c r="D85" s="2" t="str">
        <f t="shared" si="2"/>
        <v>2022/03/08 10:00:00</v>
      </c>
      <c r="F85" s="2" t="str">
        <v>2008/05/15 09:00:00</v>
      </c>
      <c r="G85">
        <f t="shared" si="3"/>
        <v>39583</v>
      </c>
    </row>
    <row r="86" spans="1:7" x14ac:dyDescent="0.25">
      <c r="A86" s="1">
        <v>44720</v>
      </c>
      <c r="B86">
        <v>5.0999999999999996</v>
      </c>
      <c r="C86">
        <v>5.4</v>
      </c>
      <c r="D86" s="2" t="str">
        <f t="shared" si="2"/>
        <v>2022/06/08 09:00:00</v>
      </c>
      <c r="F86" s="2" t="str">
        <v>2008/06/03 09:00:00</v>
      </c>
      <c r="G86">
        <f t="shared" si="3"/>
        <v>39602</v>
      </c>
    </row>
    <row r="87" spans="1:7" x14ac:dyDescent="0.25">
      <c r="A87" s="1">
        <v>44811</v>
      </c>
      <c r="B87">
        <v>3.9</v>
      </c>
      <c r="C87">
        <v>4.0999999999999996</v>
      </c>
      <c r="D87" s="2" t="str">
        <f t="shared" si="2"/>
        <v>2022/09/07 09:00:00</v>
      </c>
      <c r="F87" s="2" t="str">
        <v>2008/07/09 09:00:00</v>
      </c>
      <c r="G87">
        <f t="shared" si="3"/>
        <v>39638</v>
      </c>
    </row>
    <row r="88" spans="1:7" x14ac:dyDescent="0.25">
      <c r="A88" s="1">
        <v>44902</v>
      </c>
      <c r="B88">
        <v>2.1</v>
      </c>
      <c r="C88">
        <v>2.2999999999999998</v>
      </c>
      <c r="D88" s="2" t="str">
        <f t="shared" si="2"/>
        <v>2022/12/07 10:00:00</v>
      </c>
      <c r="F88" s="2" t="str">
        <v>2008/08/14 09:00:00</v>
      </c>
      <c r="G88">
        <f t="shared" si="3"/>
        <v>39674</v>
      </c>
    </row>
    <row r="89" spans="1:7" x14ac:dyDescent="0.25">
      <c r="A89" s="1">
        <v>44993</v>
      </c>
      <c r="B89">
        <v>1.9</v>
      </c>
      <c r="C89">
        <v>1.8</v>
      </c>
      <c r="D89" s="2" t="str">
        <f t="shared" si="2"/>
        <v>2023/03/08 10:00:00</v>
      </c>
      <c r="F89" s="2" t="str">
        <v>2008/09/03 09:00:00</v>
      </c>
      <c r="G89">
        <f t="shared" si="3"/>
        <v>39694</v>
      </c>
    </row>
    <row r="90" spans="1:7" x14ac:dyDescent="0.25">
      <c r="A90" s="1">
        <v>45085</v>
      </c>
      <c r="B90">
        <v>1.2</v>
      </c>
      <c r="C90">
        <v>1</v>
      </c>
      <c r="D90" s="2" t="str">
        <f t="shared" si="2"/>
        <v>2023/06/08 09:00:00</v>
      </c>
      <c r="F90" s="2" t="str">
        <v>2008/10/08 09:00:00</v>
      </c>
      <c r="G90">
        <f t="shared" si="3"/>
        <v>39729</v>
      </c>
    </row>
    <row r="91" spans="1:7" x14ac:dyDescent="0.25">
      <c r="A91" s="1">
        <v>45176</v>
      </c>
      <c r="B91">
        <v>0.6</v>
      </c>
      <c r="C91">
        <v>0.5</v>
      </c>
      <c r="D91" s="2" t="str">
        <f t="shared" si="2"/>
        <v>2023/09/07 09:00:00</v>
      </c>
      <c r="F91" s="2" t="str">
        <v>2008/11/14 10:00:00</v>
      </c>
      <c r="G91">
        <f t="shared" si="3"/>
        <v>39766</v>
      </c>
    </row>
    <row r="92" spans="1:7" x14ac:dyDescent="0.25">
      <c r="A92" s="1">
        <v>45267</v>
      </c>
      <c r="B92">
        <v>0.1</v>
      </c>
      <c r="C92">
        <v>0</v>
      </c>
      <c r="D92" s="2" t="str">
        <f t="shared" si="2"/>
        <v>2023/12/07 10:00:00</v>
      </c>
      <c r="F92" s="2" t="str">
        <v>2008/12/04 10:00:00</v>
      </c>
      <c r="G92">
        <f t="shared" si="3"/>
        <v>39786</v>
      </c>
    </row>
    <row r="93" spans="1:7" x14ac:dyDescent="0.25">
      <c r="A93" s="1">
        <v>45359</v>
      </c>
      <c r="B93">
        <v>0.1</v>
      </c>
      <c r="C93">
        <v>0.1</v>
      </c>
      <c r="D93" s="2" t="str">
        <f t="shared" si="2"/>
        <v>2024/03/08 10:00:00</v>
      </c>
      <c r="F93" s="2" t="str">
        <v>2009/01/08 10:00:00</v>
      </c>
      <c r="G93">
        <f t="shared" si="3"/>
        <v>39821</v>
      </c>
    </row>
    <row r="94" spans="1:7" x14ac:dyDescent="0.25">
      <c r="A94" s="1">
        <v>45450</v>
      </c>
      <c r="B94">
        <v>0.4</v>
      </c>
      <c r="C94">
        <v>0.4</v>
      </c>
      <c r="D94" s="2" t="str">
        <f t="shared" si="2"/>
        <v>2024/06/07 09:00:00</v>
      </c>
      <c r="F94" s="2" t="str">
        <v>2009/02/13 10:00:00</v>
      </c>
      <c r="G94">
        <f t="shared" si="3"/>
        <v>39857</v>
      </c>
    </row>
    <row r="95" spans="1:7" x14ac:dyDescent="0.25">
      <c r="A95" s="1">
        <v>45541</v>
      </c>
      <c r="B95">
        <v>0.6</v>
      </c>
      <c r="C95">
        <v>0.6</v>
      </c>
      <c r="D95" s="2" t="str">
        <f t="shared" si="2"/>
        <v>2024/09/06 09:00:00</v>
      </c>
      <c r="F95" s="2" t="str">
        <v>2009/03/05 10:00:00</v>
      </c>
      <c r="G95">
        <f t="shared" si="3"/>
        <v>39877</v>
      </c>
    </row>
    <row r="96" spans="1:7" x14ac:dyDescent="0.25">
      <c r="A96" s="1">
        <v>45632</v>
      </c>
      <c r="B96">
        <v>0.9</v>
      </c>
      <c r="C96">
        <v>0.9</v>
      </c>
      <c r="D96" s="2" t="str">
        <f t="shared" si="2"/>
        <v>2024/12/06 10:00:00</v>
      </c>
      <c r="F96" s="2" t="str">
        <v>2009/04/07 09:00:00</v>
      </c>
      <c r="G96">
        <f t="shared" si="3"/>
        <v>39910</v>
      </c>
    </row>
    <row r="97" spans="1:7" x14ac:dyDescent="0.25">
      <c r="A97" s="1">
        <v>45723</v>
      </c>
      <c r="B97">
        <v>0.9</v>
      </c>
      <c r="C97">
        <v>1.2</v>
      </c>
      <c r="D97" s="2" t="str">
        <f t="shared" si="2"/>
        <v>2025/03/07 10:00:00</v>
      </c>
      <c r="F97" s="2" t="str">
        <v>2009/05/15 09:00:00</v>
      </c>
      <c r="G97">
        <f t="shared" si="3"/>
        <v>39948</v>
      </c>
    </row>
    <row r="98" spans="1:7" x14ac:dyDescent="0.25">
      <c r="A98" s="1">
        <v>45814</v>
      </c>
      <c r="B98">
        <v>1.2</v>
      </c>
      <c r="C98">
        <v>1.5</v>
      </c>
      <c r="D98" s="2" t="str">
        <f t="shared" si="2"/>
        <v>2025/06/06 09:00:00</v>
      </c>
      <c r="F98" s="2" t="str">
        <v>2009/06/03 09:00:00</v>
      </c>
      <c r="G98">
        <f t="shared" si="3"/>
        <v>39967</v>
      </c>
    </row>
    <row r="99" spans="1:7" x14ac:dyDescent="0.25">
      <c r="A99" s="1">
        <v>45905</v>
      </c>
      <c r="B99">
        <v>1.4</v>
      </c>
      <c r="C99">
        <v>1.5</v>
      </c>
      <c r="D99" s="2" t="str">
        <f t="shared" si="2"/>
        <v>2025/09/05 09:00:00</v>
      </c>
      <c r="F99" s="2" t="str">
        <v>2009/07/08 09:00:00</v>
      </c>
      <c r="G99">
        <f t="shared" si="3"/>
        <v>40002</v>
      </c>
    </row>
    <row r="100" spans="1:7" x14ac:dyDescent="0.25">
      <c r="A100" s="1">
        <v>45996</v>
      </c>
      <c r="B100">
        <v>1.4</v>
      </c>
      <c r="C100">
        <v>1.4</v>
      </c>
      <c r="D100" s="2" t="str">
        <f t="shared" si="2"/>
        <v>2025/12/05 10:00:00</v>
      </c>
      <c r="F100" s="2" t="str">
        <v>2009/08/13 09:00:00</v>
      </c>
      <c r="G100">
        <f t="shared" si="3"/>
        <v>40038</v>
      </c>
    </row>
    <row r="101" spans="1:7" x14ac:dyDescent="0.25">
      <c r="A101" s="1">
        <v>46087</v>
      </c>
      <c r="B101">
        <v>1.3</v>
      </c>
      <c r="C101">
        <v>1.2</v>
      </c>
      <c r="D101" s="2" t="str">
        <f t="shared" si="2"/>
        <v>2026/03/06 10:00:00</v>
      </c>
      <c r="F101" s="2" t="str">
        <v>2009/09/02 09:00:00</v>
      </c>
      <c r="G101">
        <f t="shared" si="3"/>
        <v>40058</v>
      </c>
    </row>
    <row r="102" spans="1:7" x14ac:dyDescent="0.25">
      <c r="D102" s="2"/>
      <c r="F102" s="2" t="str">
        <v>2009/10/07 09:00:00</v>
      </c>
      <c r="G102">
        <f t="shared" si="3"/>
        <v>40093</v>
      </c>
    </row>
    <row r="103" spans="1:7" x14ac:dyDescent="0.25">
      <c r="D103" s="2"/>
      <c r="F103" s="2" t="str">
        <v>2009/11/13 10:00:00</v>
      </c>
      <c r="G103">
        <f t="shared" si="3"/>
        <v>40130</v>
      </c>
    </row>
    <row r="104" spans="1:7" x14ac:dyDescent="0.25">
      <c r="D104" s="2"/>
      <c r="F104" s="2" t="str">
        <v>2009/12/03 10:00:00</v>
      </c>
      <c r="G104">
        <f t="shared" si="3"/>
        <v>40150</v>
      </c>
    </row>
    <row r="105" spans="1:7" x14ac:dyDescent="0.25">
      <c r="D105" s="2"/>
      <c r="F105" s="2" t="str">
        <v>2010/01/08 10:00:00</v>
      </c>
      <c r="G105">
        <f t="shared" si="3"/>
        <v>40186</v>
      </c>
    </row>
    <row r="106" spans="1:7" x14ac:dyDescent="0.25">
      <c r="D106" s="2"/>
      <c r="F106" s="2" t="str">
        <v>2010/02/12 10:00:00</v>
      </c>
      <c r="G106">
        <f t="shared" si="3"/>
        <v>40221</v>
      </c>
    </row>
    <row r="107" spans="1:7" x14ac:dyDescent="0.25">
      <c r="D107" s="2"/>
      <c r="F107" s="2" t="str">
        <v>2010/03/04 10:00:00</v>
      </c>
      <c r="G107">
        <f t="shared" si="3"/>
        <v>40241</v>
      </c>
    </row>
    <row r="108" spans="1:7" x14ac:dyDescent="0.25">
      <c r="D108" s="2"/>
      <c r="F108" s="2" t="str">
        <v>2010/04/07 09:00:00</v>
      </c>
      <c r="G108">
        <f t="shared" si="3"/>
        <v>40275</v>
      </c>
    </row>
    <row r="109" spans="1:7" x14ac:dyDescent="0.25">
      <c r="D109" s="2"/>
      <c r="F109" s="2" t="str">
        <v>2010/05/12 09:00:00</v>
      </c>
      <c r="G109">
        <f t="shared" si="3"/>
        <v>40310</v>
      </c>
    </row>
    <row r="110" spans="1:7" x14ac:dyDescent="0.25">
      <c r="D110" s="2"/>
      <c r="F110" s="2" t="str">
        <v>2010/06/04 09:00:00</v>
      </c>
      <c r="G110">
        <f t="shared" si="3"/>
        <v>40333</v>
      </c>
    </row>
    <row r="111" spans="1:7" x14ac:dyDescent="0.25">
      <c r="D111" s="2"/>
      <c r="F111" s="2" t="str">
        <v>2010/07/07 09:00:00</v>
      </c>
      <c r="G111">
        <f t="shared" si="3"/>
        <v>40366</v>
      </c>
    </row>
    <row r="112" spans="1:7" x14ac:dyDescent="0.25">
      <c r="D112" s="2"/>
      <c r="F112" s="2" t="str">
        <v>2010/08/13 09:00:00</v>
      </c>
      <c r="G112">
        <f t="shared" si="3"/>
        <v>40403</v>
      </c>
    </row>
    <row r="113" spans="4:7" x14ac:dyDescent="0.25">
      <c r="D113" s="2"/>
      <c r="F113" s="2" t="str">
        <v>2010/09/02 09:00:00</v>
      </c>
      <c r="G113">
        <f t="shared" si="3"/>
        <v>40423</v>
      </c>
    </row>
    <row r="114" spans="4:7" x14ac:dyDescent="0.25">
      <c r="D114" s="2"/>
      <c r="F114" s="2" t="str">
        <v>2010/10/06 09:00:00</v>
      </c>
      <c r="G114">
        <f t="shared" si="3"/>
        <v>40457</v>
      </c>
    </row>
    <row r="115" spans="4:7" x14ac:dyDescent="0.25">
      <c r="D115" s="2"/>
      <c r="F115" s="2" t="str">
        <v>2010/11/12 10:00:00</v>
      </c>
      <c r="G115">
        <f t="shared" si="3"/>
        <v>40494</v>
      </c>
    </row>
    <row r="116" spans="4:7" x14ac:dyDescent="0.25">
      <c r="D116" s="2"/>
      <c r="F116" s="2" t="str">
        <v>2010/12/02 10:00:00</v>
      </c>
      <c r="G116">
        <f t="shared" si="3"/>
        <v>40514</v>
      </c>
    </row>
    <row r="117" spans="4:7" x14ac:dyDescent="0.25">
      <c r="D117" s="2"/>
      <c r="F117" s="2" t="str">
        <v>2011/01/07 10:00:00</v>
      </c>
      <c r="G117">
        <f t="shared" si="3"/>
        <v>40550</v>
      </c>
    </row>
    <row r="118" spans="4:7" x14ac:dyDescent="0.25">
      <c r="D118" s="2"/>
      <c r="F118" s="2" t="str">
        <v>2011/02/15 10:00:00</v>
      </c>
      <c r="G118">
        <f t="shared" si="3"/>
        <v>40589</v>
      </c>
    </row>
    <row r="119" spans="4:7" x14ac:dyDescent="0.25">
      <c r="D119" s="2"/>
      <c r="F119" s="2" t="str">
        <v>2011/03/03 10:00:00</v>
      </c>
      <c r="G119">
        <f t="shared" si="3"/>
        <v>40605</v>
      </c>
    </row>
    <row r="120" spans="4:7" x14ac:dyDescent="0.25">
      <c r="D120" s="2"/>
      <c r="F120" s="2" t="str">
        <v>2011/04/06 09:00:00</v>
      </c>
      <c r="G120">
        <f t="shared" si="3"/>
        <v>40639</v>
      </c>
    </row>
    <row r="121" spans="4:7" x14ac:dyDescent="0.25">
      <c r="D121" s="2"/>
      <c r="F121" s="2" t="str">
        <v>2011/05/13 09:00:00</v>
      </c>
      <c r="G121">
        <f t="shared" si="3"/>
        <v>40676</v>
      </c>
    </row>
    <row r="122" spans="4:7" x14ac:dyDescent="0.25">
      <c r="D122" s="2"/>
      <c r="F122" s="2" t="str">
        <v>2011/06/08 09:00:00</v>
      </c>
      <c r="G122">
        <f t="shared" si="3"/>
        <v>40702</v>
      </c>
    </row>
    <row r="123" spans="4:7" x14ac:dyDescent="0.25">
      <c r="D123" s="2"/>
      <c r="F123" s="2" t="str">
        <v>2011/08/16 09:00:00</v>
      </c>
      <c r="G123">
        <f t="shared" si="3"/>
        <v>40771</v>
      </c>
    </row>
    <row r="124" spans="4:7" x14ac:dyDescent="0.25">
      <c r="D124" s="2"/>
      <c r="F124" s="2" t="str">
        <v>2011/09/06 09:00:00</v>
      </c>
      <c r="G124">
        <f t="shared" si="3"/>
        <v>40792</v>
      </c>
    </row>
    <row r="125" spans="4:7" x14ac:dyDescent="0.25">
      <c r="D125" s="2"/>
      <c r="F125" s="2" t="str">
        <v>2011/11/15 10:00:00</v>
      </c>
      <c r="G125">
        <f t="shared" si="3"/>
        <v>40862</v>
      </c>
    </row>
    <row r="126" spans="4:7" x14ac:dyDescent="0.25">
      <c r="D126" s="2"/>
      <c r="F126" s="2" t="str">
        <v>2011/12/06 10:00:00</v>
      </c>
      <c r="G126">
        <f t="shared" si="3"/>
        <v>40883</v>
      </c>
    </row>
    <row r="127" spans="4:7" x14ac:dyDescent="0.25">
      <c r="D127" s="2"/>
      <c r="F127" s="2" t="str">
        <v>2012/02/15 10:00:00</v>
      </c>
      <c r="G127">
        <f t="shared" si="3"/>
        <v>40954</v>
      </c>
    </row>
    <row r="128" spans="4:7" x14ac:dyDescent="0.25">
      <c r="D128" s="2"/>
      <c r="F128" s="2" t="str">
        <v>2012/03/06 10:00:00</v>
      </c>
      <c r="G128">
        <f t="shared" si="3"/>
        <v>40974</v>
      </c>
    </row>
    <row r="129" spans="4:7" x14ac:dyDescent="0.25">
      <c r="D129" s="2"/>
      <c r="F129" s="2" t="str">
        <v>2012/05/15 09:00:00</v>
      </c>
      <c r="G129">
        <f t="shared" si="3"/>
        <v>41044</v>
      </c>
    </row>
    <row r="130" spans="4:7" x14ac:dyDescent="0.25">
      <c r="D130" s="2"/>
      <c r="F130" s="2" t="str">
        <v>2012/06/06 09:00:00</v>
      </c>
      <c r="G130">
        <f t="shared" ref="G130:G193" si="4">IFERROR(INT(F130),"")</f>
        <v>41066</v>
      </c>
    </row>
    <row r="131" spans="4:7" x14ac:dyDescent="0.25">
      <c r="D131" s="2"/>
      <c r="F131" s="2" t="str">
        <v>2012/08/14 09:00:00</v>
      </c>
      <c r="G131">
        <f t="shared" si="4"/>
        <v>41135</v>
      </c>
    </row>
    <row r="132" spans="4:7" x14ac:dyDescent="0.25">
      <c r="D132" s="2"/>
      <c r="F132" s="2" t="str">
        <v>2012/09/06 09:00:00</v>
      </c>
      <c r="G132">
        <f t="shared" si="4"/>
        <v>41158</v>
      </c>
    </row>
    <row r="133" spans="4:7" x14ac:dyDescent="0.25">
      <c r="D133" s="2"/>
      <c r="F133" s="2" t="str">
        <v>2012/11/15 10:00:00</v>
      </c>
      <c r="G133">
        <f t="shared" si="4"/>
        <v>41228</v>
      </c>
    </row>
    <row r="134" spans="4:7" x14ac:dyDescent="0.25">
      <c r="D134" s="2"/>
      <c r="F134" s="2" t="str">
        <v>2012/12/06 10:00:00</v>
      </c>
      <c r="G134">
        <f t="shared" si="4"/>
        <v>41249</v>
      </c>
    </row>
    <row r="135" spans="4:7" x14ac:dyDescent="0.25">
      <c r="D135" s="2"/>
      <c r="F135" s="2" t="str">
        <v>2013/02/14 10:00:00</v>
      </c>
      <c r="G135">
        <f t="shared" si="4"/>
        <v>41319</v>
      </c>
    </row>
    <row r="136" spans="4:7" x14ac:dyDescent="0.25">
      <c r="D136" s="2"/>
      <c r="F136" s="2" t="str">
        <v>2013/03/06 10:00:00</v>
      </c>
      <c r="G136">
        <f t="shared" si="4"/>
        <v>41339</v>
      </c>
    </row>
    <row r="137" spans="4:7" x14ac:dyDescent="0.25">
      <c r="D137" s="2"/>
      <c r="F137" s="2" t="str">
        <v>2013/05/15 09:00:00</v>
      </c>
      <c r="G137">
        <f t="shared" si="4"/>
        <v>41409</v>
      </c>
    </row>
    <row r="138" spans="4:7" x14ac:dyDescent="0.25">
      <c r="D138" s="2"/>
      <c r="F138" s="2" t="str">
        <v>2013/06/05 09:00:00</v>
      </c>
      <c r="G138">
        <f t="shared" si="4"/>
        <v>41430</v>
      </c>
    </row>
    <row r="139" spans="4:7" x14ac:dyDescent="0.25">
      <c r="D139" s="2"/>
      <c r="F139" s="2" t="str">
        <v>2013/08/14 09:00:00</v>
      </c>
      <c r="G139">
        <f t="shared" si="4"/>
        <v>41500</v>
      </c>
    </row>
    <row r="140" spans="4:7" x14ac:dyDescent="0.25">
      <c r="D140" s="2"/>
      <c r="F140" s="2" t="str">
        <v>2013/09/04 09:00:00</v>
      </c>
      <c r="G140">
        <f t="shared" si="4"/>
        <v>41521</v>
      </c>
    </row>
    <row r="141" spans="4:7" x14ac:dyDescent="0.25">
      <c r="D141" s="2"/>
      <c r="F141" s="2" t="str">
        <v>2013/11/14 10:00:00</v>
      </c>
      <c r="G141">
        <f t="shared" si="4"/>
        <v>41592</v>
      </c>
    </row>
    <row r="142" spans="4:7" x14ac:dyDescent="0.25">
      <c r="D142" s="2"/>
      <c r="F142" s="2" t="str">
        <v>2013/12/04 10:00:00</v>
      </c>
      <c r="G142">
        <f t="shared" si="4"/>
        <v>41612</v>
      </c>
    </row>
    <row r="143" spans="4:7" x14ac:dyDescent="0.25">
      <c r="D143" s="2"/>
      <c r="F143" s="2" t="str">
        <v>2014/02/14 10:00:00</v>
      </c>
      <c r="G143">
        <f t="shared" si="4"/>
        <v>41684</v>
      </c>
    </row>
    <row r="144" spans="4:7" x14ac:dyDescent="0.25">
      <c r="D144" s="2"/>
      <c r="F144" s="2" t="str">
        <v>2014/03/05 10:00:00</v>
      </c>
      <c r="G144">
        <f t="shared" si="4"/>
        <v>41703</v>
      </c>
    </row>
    <row r="145" spans="4:7" x14ac:dyDescent="0.25">
      <c r="D145" s="2"/>
      <c r="F145" s="2" t="str">
        <v>2014/05/15 09:00:00</v>
      </c>
      <c r="G145">
        <f t="shared" si="4"/>
        <v>41774</v>
      </c>
    </row>
    <row r="146" spans="4:7" x14ac:dyDescent="0.25">
      <c r="D146" s="2"/>
      <c r="F146" s="2" t="str">
        <v>2014/06/04 09:00:00</v>
      </c>
      <c r="G146">
        <f t="shared" si="4"/>
        <v>41794</v>
      </c>
    </row>
    <row r="147" spans="4:7" x14ac:dyDescent="0.25">
      <c r="D147" s="2"/>
      <c r="F147" s="2" t="str">
        <v>2014/08/14 09:00:00</v>
      </c>
      <c r="G147">
        <f t="shared" si="4"/>
        <v>41865</v>
      </c>
    </row>
    <row r="148" spans="4:7" x14ac:dyDescent="0.25">
      <c r="D148" s="2"/>
      <c r="F148" s="2" t="str">
        <v>2014/09/05 09:00:00</v>
      </c>
      <c r="G148">
        <f t="shared" si="4"/>
        <v>41887</v>
      </c>
    </row>
    <row r="149" spans="4:7" x14ac:dyDescent="0.25">
      <c r="D149" s="2"/>
      <c r="F149" s="2" t="str">
        <v>2014/11/14 10:00:00</v>
      </c>
      <c r="G149">
        <f t="shared" si="4"/>
        <v>41957</v>
      </c>
    </row>
    <row r="150" spans="4:7" x14ac:dyDescent="0.25">
      <c r="D150" s="2"/>
      <c r="F150" s="2" t="str">
        <v>2014/12/05 10:00:00</v>
      </c>
      <c r="G150">
        <f t="shared" si="4"/>
        <v>41978</v>
      </c>
    </row>
    <row r="151" spans="4:7" x14ac:dyDescent="0.25">
      <c r="D151" s="2"/>
      <c r="F151" s="2" t="str">
        <v>2015/02/13 10:00:00</v>
      </c>
      <c r="G151">
        <f t="shared" si="4"/>
        <v>42048</v>
      </c>
    </row>
    <row r="152" spans="4:7" x14ac:dyDescent="0.25">
      <c r="D152" s="2"/>
      <c r="F152" s="2" t="str">
        <v>2015/03/06 10:00:00</v>
      </c>
      <c r="G152">
        <f t="shared" si="4"/>
        <v>42069</v>
      </c>
    </row>
    <row r="153" spans="4:7" x14ac:dyDescent="0.25">
      <c r="D153" s="2"/>
      <c r="F153" s="2" t="str">
        <v>2015/05/13 09:00:00</v>
      </c>
      <c r="G153">
        <f t="shared" si="4"/>
        <v>42137</v>
      </c>
    </row>
    <row r="154" spans="4:7" x14ac:dyDescent="0.25">
      <c r="D154" s="2"/>
      <c r="F154" s="2" t="str">
        <v>2015/06/09 09:00:00</v>
      </c>
      <c r="G154">
        <f t="shared" si="4"/>
        <v>42164</v>
      </c>
    </row>
    <row r="155" spans="4:7" x14ac:dyDescent="0.25">
      <c r="D155" s="2"/>
      <c r="F155" s="2" t="str">
        <v>2015/08/14 09:00:00</v>
      </c>
      <c r="G155">
        <f t="shared" si="4"/>
        <v>42230</v>
      </c>
    </row>
    <row r="156" spans="4:7" x14ac:dyDescent="0.25">
      <c r="D156" s="2"/>
      <c r="F156" s="2" t="str">
        <v>2015/09/08 09:00:00</v>
      </c>
      <c r="G156">
        <f t="shared" si="4"/>
        <v>42255</v>
      </c>
    </row>
    <row r="157" spans="4:7" x14ac:dyDescent="0.25">
      <c r="D157" s="2"/>
      <c r="F157" s="2" t="str">
        <v>2015/11/13 10:00:00</v>
      </c>
      <c r="G157">
        <f t="shared" si="4"/>
        <v>42321</v>
      </c>
    </row>
    <row r="158" spans="4:7" x14ac:dyDescent="0.25">
      <c r="D158" s="2"/>
      <c r="F158" s="2" t="str">
        <v>2015/12/08 10:00:00</v>
      </c>
      <c r="G158">
        <f t="shared" si="4"/>
        <v>42346</v>
      </c>
    </row>
    <row r="159" spans="4:7" x14ac:dyDescent="0.25">
      <c r="D159" s="2"/>
      <c r="F159" s="2" t="str">
        <v>2016/02/12 10:00:00</v>
      </c>
      <c r="G159">
        <f t="shared" si="4"/>
        <v>42412</v>
      </c>
    </row>
    <row r="160" spans="4:7" x14ac:dyDescent="0.25">
      <c r="D160" s="2"/>
      <c r="F160" s="2" t="str">
        <v>2016/03/08 10:00:00</v>
      </c>
      <c r="G160">
        <f t="shared" si="4"/>
        <v>42437</v>
      </c>
    </row>
    <row r="161" spans="4:7" x14ac:dyDescent="0.25">
      <c r="D161" s="2"/>
      <c r="F161" s="2" t="str">
        <v>2016/04/29 09:00:00</v>
      </c>
      <c r="G161">
        <f t="shared" si="4"/>
        <v>42489</v>
      </c>
    </row>
    <row r="162" spans="4:7" x14ac:dyDescent="0.25">
      <c r="D162" s="2"/>
      <c r="F162" s="2" t="str">
        <v>2016/05/13 09:00:00</v>
      </c>
      <c r="G162">
        <f t="shared" si="4"/>
        <v>42503</v>
      </c>
    </row>
    <row r="163" spans="4:7" x14ac:dyDescent="0.25">
      <c r="D163" s="2"/>
      <c r="F163" s="2" t="str">
        <v>2016/06/07 09:00:00</v>
      </c>
      <c r="G163">
        <f t="shared" si="4"/>
        <v>42528</v>
      </c>
    </row>
    <row r="164" spans="4:7" x14ac:dyDescent="0.25">
      <c r="D164" s="2"/>
      <c r="F164" s="2" t="str">
        <v>2016/07/29 09:00:00</v>
      </c>
      <c r="G164">
        <f t="shared" si="4"/>
        <v>42580</v>
      </c>
    </row>
    <row r="165" spans="4:7" x14ac:dyDescent="0.25">
      <c r="D165" s="2"/>
      <c r="F165" s="2" t="str">
        <v>2016/08/12 09:00:00</v>
      </c>
      <c r="G165">
        <f t="shared" si="4"/>
        <v>42594</v>
      </c>
    </row>
    <row r="166" spans="4:7" x14ac:dyDescent="0.25">
      <c r="D166" s="2"/>
      <c r="F166" s="2" t="str">
        <v>2016/09/06 09:00:00</v>
      </c>
      <c r="G166">
        <f t="shared" si="4"/>
        <v>42619</v>
      </c>
    </row>
    <row r="167" spans="4:7" x14ac:dyDescent="0.25">
      <c r="D167" s="2"/>
      <c r="F167" s="2" t="str">
        <v>2016/10/31 10:00:00</v>
      </c>
      <c r="G167">
        <f t="shared" si="4"/>
        <v>42674</v>
      </c>
    </row>
    <row r="168" spans="4:7" x14ac:dyDescent="0.25">
      <c r="D168" s="2"/>
      <c r="F168" s="2" t="str">
        <v>2016/11/15 10:00:00</v>
      </c>
      <c r="G168">
        <f t="shared" si="4"/>
        <v>42689</v>
      </c>
    </row>
    <row r="169" spans="4:7" x14ac:dyDescent="0.25">
      <c r="D169" s="2"/>
      <c r="F169" s="2" t="str">
        <v>2016/12/06 10:00:00</v>
      </c>
      <c r="G169">
        <f t="shared" si="4"/>
        <v>42710</v>
      </c>
    </row>
    <row r="170" spans="4:7" x14ac:dyDescent="0.25">
      <c r="D170" s="2"/>
      <c r="F170" s="2" t="str">
        <v>2017/01/31 10:00:00</v>
      </c>
      <c r="G170">
        <f t="shared" si="4"/>
        <v>42766</v>
      </c>
    </row>
    <row r="171" spans="4:7" x14ac:dyDescent="0.25">
      <c r="D171" s="2"/>
      <c r="F171" s="2" t="str">
        <v>2017/02/14 10:00:00</v>
      </c>
      <c r="G171">
        <f t="shared" si="4"/>
        <v>42780</v>
      </c>
    </row>
    <row r="172" spans="4:7" x14ac:dyDescent="0.25">
      <c r="D172" s="2"/>
      <c r="F172" s="2" t="str">
        <v>2017/03/07 10:00:00</v>
      </c>
      <c r="G172">
        <f t="shared" si="4"/>
        <v>42801</v>
      </c>
    </row>
    <row r="173" spans="4:7" x14ac:dyDescent="0.25">
      <c r="D173" s="2"/>
      <c r="F173" s="2" t="str">
        <v>2017/05/03 09:00:00</v>
      </c>
      <c r="G173">
        <f t="shared" si="4"/>
        <v>42858</v>
      </c>
    </row>
    <row r="174" spans="4:7" x14ac:dyDescent="0.25">
      <c r="D174" s="2"/>
      <c r="F174" s="2" t="str">
        <v>2017/05/16 09:00:00</v>
      </c>
      <c r="G174">
        <f t="shared" si="4"/>
        <v>42871</v>
      </c>
    </row>
    <row r="175" spans="4:7" x14ac:dyDescent="0.25">
      <c r="D175" s="2"/>
      <c r="F175" s="2" t="str">
        <v>2017/06/08 09:00:00</v>
      </c>
      <c r="G175">
        <f t="shared" si="4"/>
        <v>42894</v>
      </c>
    </row>
    <row r="176" spans="4:7" x14ac:dyDescent="0.25">
      <c r="D176" s="2"/>
      <c r="F176" s="2" t="str">
        <v>2017/08/01 09:00:00</v>
      </c>
      <c r="G176">
        <f t="shared" si="4"/>
        <v>42948</v>
      </c>
    </row>
    <row r="177" spans="4:7" x14ac:dyDescent="0.25">
      <c r="D177" s="2"/>
      <c r="F177" s="2" t="str">
        <v>2017/08/16 09:00:00</v>
      </c>
      <c r="G177">
        <f t="shared" si="4"/>
        <v>42963</v>
      </c>
    </row>
    <row r="178" spans="4:7" x14ac:dyDescent="0.25">
      <c r="D178" s="2"/>
      <c r="F178" s="2" t="str">
        <v>2017/09/07 09:00:00</v>
      </c>
      <c r="G178">
        <f t="shared" si="4"/>
        <v>42985</v>
      </c>
    </row>
    <row r="179" spans="4:7" x14ac:dyDescent="0.25">
      <c r="D179" s="2"/>
      <c r="F179" s="2" t="str">
        <v>2017/10/31 10:00:00</v>
      </c>
      <c r="G179">
        <f t="shared" si="4"/>
        <v>43039</v>
      </c>
    </row>
    <row r="180" spans="4:7" x14ac:dyDescent="0.25">
      <c r="D180" s="2"/>
      <c r="F180" s="2" t="str">
        <v>2017/11/14 10:00:00</v>
      </c>
      <c r="G180">
        <f t="shared" si="4"/>
        <v>43053</v>
      </c>
    </row>
    <row r="181" spans="4:7" x14ac:dyDescent="0.25">
      <c r="D181" s="2"/>
      <c r="F181" s="2" t="str">
        <v>2017/12/07 10:00:00</v>
      </c>
      <c r="G181">
        <f t="shared" si="4"/>
        <v>43076</v>
      </c>
    </row>
    <row r="182" spans="4:7" x14ac:dyDescent="0.25">
      <c r="D182" s="2"/>
      <c r="F182" s="2" t="str">
        <v>2018/01/30 10:00:00</v>
      </c>
      <c r="G182">
        <f t="shared" si="4"/>
        <v>43130</v>
      </c>
    </row>
    <row r="183" spans="4:7" x14ac:dyDescent="0.25">
      <c r="D183" s="2"/>
      <c r="F183" s="2" t="str">
        <v>2018/02/14 10:00:00</v>
      </c>
      <c r="G183">
        <f t="shared" si="4"/>
        <v>43145</v>
      </c>
    </row>
    <row r="184" spans="4:7" x14ac:dyDescent="0.25">
      <c r="D184" s="2"/>
      <c r="F184" s="2" t="str">
        <v>2018/03/07 10:00:00</v>
      </c>
      <c r="G184">
        <f t="shared" si="4"/>
        <v>43166</v>
      </c>
    </row>
    <row r="185" spans="4:7" x14ac:dyDescent="0.25">
      <c r="D185" s="2"/>
      <c r="F185" s="2" t="str">
        <v>2018/05/02 09:00:00</v>
      </c>
      <c r="G185">
        <f t="shared" si="4"/>
        <v>43222</v>
      </c>
    </row>
    <row r="186" spans="4:7" x14ac:dyDescent="0.25">
      <c r="D186" s="2"/>
      <c r="F186" s="2" t="str">
        <v>2018/05/15 09:00:00</v>
      </c>
      <c r="G186">
        <f t="shared" si="4"/>
        <v>43235</v>
      </c>
    </row>
    <row r="187" spans="4:7" x14ac:dyDescent="0.25">
      <c r="D187" s="2"/>
      <c r="F187" s="2" t="str">
        <v>2018/06/07 09:00:00</v>
      </c>
      <c r="G187">
        <f t="shared" si="4"/>
        <v>43258</v>
      </c>
    </row>
    <row r="188" spans="4:7" x14ac:dyDescent="0.25">
      <c r="D188" s="2"/>
      <c r="F188" s="2" t="str">
        <v>2018/07/31 09:00:00</v>
      </c>
      <c r="G188">
        <f t="shared" si="4"/>
        <v>43312</v>
      </c>
    </row>
    <row r="189" spans="4:7" x14ac:dyDescent="0.25">
      <c r="D189" s="2"/>
      <c r="F189" s="2" t="str">
        <v>2018/08/14 09:00:00</v>
      </c>
      <c r="G189">
        <f t="shared" si="4"/>
        <v>43326</v>
      </c>
    </row>
    <row r="190" spans="4:7" x14ac:dyDescent="0.25">
      <c r="D190" s="2"/>
      <c r="F190" s="2" t="str">
        <v>2018/09/07 09:00:00</v>
      </c>
      <c r="G190">
        <f t="shared" si="4"/>
        <v>43350</v>
      </c>
    </row>
    <row r="191" spans="4:7" x14ac:dyDescent="0.25">
      <c r="D191" s="2"/>
      <c r="F191" s="2" t="str">
        <v>2018/10/30 10:00:00</v>
      </c>
      <c r="G191">
        <f t="shared" si="4"/>
        <v>43403</v>
      </c>
    </row>
    <row r="192" spans="4:7" x14ac:dyDescent="0.25">
      <c r="D192" s="2"/>
      <c r="F192" s="2" t="str">
        <v>2018/11/14 10:00:00</v>
      </c>
      <c r="G192">
        <f t="shared" si="4"/>
        <v>43418</v>
      </c>
    </row>
    <row r="193" spans="4:7" x14ac:dyDescent="0.25">
      <c r="D193" s="2"/>
      <c r="F193" s="2" t="str">
        <v>2018/12/07 10:00:00</v>
      </c>
      <c r="G193">
        <f t="shared" si="4"/>
        <v>43441</v>
      </c>
    </row>
    <row r="194" spans="4:7" x14ac:dyDescent="0.25">
      <c r="D194" s="2"/>
      <c r="F194" s="2" t="str">
        <v>2019/01/31 10:00:00</v>
      </c>
      <c r="G194">
        <f t="shared" ref="G194:G257" si="5">IFERROR(INT(F194),"")</f>
        <v>43496</v>
      </c>
    </row>
    <row r="195" spans="4:7" x14ac:dyDescent="0.25">
      <c r="D195" s="2"/>
      <c r="F195" s="2" t="str">
        <v>2019/02/14 10:00:00</v>
      </c>
      <c r="G195">
        <f t="shared" si="5"/>
        <v>43510</v>
      </c>
    </row>
    <row r="196" spans="4:7" x14ac:dyDescent="0.25">
      <c r="D196" s="2"/>
      <c r="F196" s="2" t="str">
        <v>2019/03/07 10:00:00</v>
      </c>
      <c r="G196">
        <f t="shared" si="5"/>
        <v>43531</v>
      </c>
    </row>
    <row r="197" spans="4:7" x14ac:dyDescent="0.25">
      <c r="D197" s="2"/>
      <c r="F197" s="2" t="str">
        <v>2019/04/30 09:00:00</v>
      </c>
      <c r="G197">
        <f t="shared" si="5"/>
        <v>43585</v>
      </c>
    </row>
    <row r="198" spans="4:7" x14ac:dyDescent="0.25">
      <c r="D198" s="2"/>
      <c r="F198" s="2" t="str">
        <v>2019/05/15 09:00:00</v>
      </c>
      <c r="G198">
        <f t="shared" si="5"/>
        <v>43600</v>
      </c>
    </row>
    <row r="199" spans="4:7" x14ac:dyDescent="0.25">
      <c r="D199" s="2"/>
      <c r="F199" s="2" t="str">
        <v>2019/06/06 09:00:00</v>
      </c>
      <c r="G199">
        <f t="shared" si="5"/>
        <v>43622</v>
      </c>
    </row>
    <row r="200" spans="4:7" x14ac:dyDescent="0.25">
      <c r="D200" s="2"/>
      <c r="F200" s="2" t="str">
        <v>2019/07/31 09:00:00</v>
      </c>
      <c r="G200">
        <f t="shared" si="5"/>
        <v>43677</v>
      </c>
    </row>
    <row r="201" spans="4:7" x14ac:dyDescent="0.25">
      <c r="D201" s="2"/>
      <c r="F201" s="2" t="str">
        <v>2019/08/14 09:00:00</v>
      </c>
      <c r="G201">
        <f t="shared" si="5"/>
        <v>43691</v>
      </c>
    </row>
    <row r="202" spans="4:7" x14ac:dyDescent="0.25">
      <c r="D202" s="2"/>
      <c r="F202" s="2" t="str">
        <v>2019/09/06 09:00:00</v>
      </c>
      <c r="G202">
        <f t="shared" si="5"/>
        <v>43714</v>
      </c>
    </row>
    <row r="203" spans="4:7" x14ac:dyDescent="0.25">
      <c r="D203" s="2"/>
      <c r="F203" s="2" t="str">
        <v>2019/10/31 10:00:00</v>
      </c>
      <c r="G203">
        <f t="shared" si="5"/>
        <v>43769</v>
      </c>
    </row>
    <row r="204" spans="4:7" x14ac:dyDescent="0.25">
      <c r="D204" s="2"/>
      <c r="F204" s="2" t="str">
        <v>2019/11/14 10:00:00</v>
      </c>
      <c r="G204">
        <f t="shared" si="5"/>
        <v>43783</v>
      </c>
    </row>
    <row r="205" spans="4:7" x14ac:dyDescent="0.25">
      <c r="D205" s="2"/>
      <c r="F205" s="2" t="str">
        <v>2019/12/05 10:00:00</v>
      </c>
      <c r="G205">
        <f t="shared" si="5"/>
        <v>43804</v>
      </c>
    </row>
    <row r="206" spans="4:7" x14ac:dyDescent="0.25">
      <c r="D206" s="2"/>
      <c r="F206" s="2" t="str">
        <v>2020/01/31 10:00:00</v>
      </c>
      <c r="G206">
        <f t="shared" si="5"/>
        <v>43861</v>
      </c>
    </row>
    <row r="207" spans="4:7" x14ac:dyDescent="0.25">
      <c r="D207" s="2"/>
      <c r="F207" s="2" t="str">
        <v>2020/02/14 10:00:00</v>
      </c>
      <c r="G207">
        <f t="shared" si="5"/>
        <v>43875</v>
      </c>
    </row>
    <row r="208" spans="4:7" x14ac:dyDescent="0.25">
      <c r="D208" s="2"/>
      <c r="F208" s="2" t="str">
        <v>2020/03/10 10:00:00</v>
      </c>
      <c r="G208">
        <f t="shared" si="5"/>
        <v>43900</v>
      </c>
    </row>
    <row r="209" spans="4:7" x14ac:dyDescent="0.25">
      <c r="D209" s="2"/>
      <c r="F209" s="2" t="str">
        <v>2020/04/30 09:00:00</v>
      </c>
      <c r="G209">
        <f t="shared" si="5"/>
        <v>43951</v>
      </c>
    </row>
    <row r="210" spans="4:7" x14ac:dyDescent="0.25">
      <c r="D210" s="2"/>
      <c r="F210" s="2" t="str">
        <v>2020/05/15 09:00:00</v>
      </c>
      <c r="G210">
        <f t="shared" si="5"/>
        <v>43966</v>
      </c>
    </row>
    <row r="211" spans="4:7" x14ac:dyDescent="0.25">
      <c r="D211" s="2"/>
      <c r="F211" s="2" t="str">
        <v>2020/06/09 09:00:00</v>
      </c>
      <c r="G211">
        <f t="shared" si="5"/>
        <v>43991</v>
      </c>
    </row>
    <row r="212" spans="4:7" x14ac:dyDescent="0.25">
      <c r="D212" s="2"/>
      <c r="F212" s="2" t="str">
        <v>2020/07/31 09:00:00</v>
      </c>
      <c r="G212">
        <f t="shared" si="5"/>
        <v>44043</v>
      </c>
    </row>
    <row r="213" spans="4:7" x14ac:dyDescent="0.25">
      <c r="D213" s="2"/>
      <c r="F213" s="2" t="str">
        <v>2020/08/14 09:00:00</v>
      </c>
      <c r="G213">
        <f t="shared" si="5"/>
        <v>44057</v>
      </c>
    </row>
    <row r="214" spans="4:7" x14ac:dyDescent="0.25">
      <c r="D214" s="2"/>
      <c r="F214" s="2" t="str">
        <v>2020/09/08 09:00:00</v>
      </c>
      <c r="G214">
        <f t="shared" si="5"/>
        <v>44082</v>
      </c>
    </row>
    <row r="215" spans="4:7" x14ac:dyDescent="0.25">
      <c r="D215" s="2"/>
      <c r="F215" s="2" t="str">
        <v>2020/10/30 10:00:00</v>
      </c>
      <c r="G215">
        <f t="shared" si="5"/>
        <v>44134</v>
      </c>
    </row>
    <row r="216" spans="4:7" x14ac:dyDescent="0.25">
      <c r="D216" s="2"/>
      <c r="F216" s="2" t="str">
        <v>2020/11/13 10:00:00</v>
      </c>
      <c r="G216">
        <f t="shared" si="5"/>
        <v>44148</v>
      </c>
    </row>
    <row r="217" spans="4:7" x14ac:dyDescent="0.25">
      <c r="D217" s="2"/>
      <c r="F217" s="2" t="str">
        <v>2020/12/08 10:00:00</v>
      </c>
      <c r="G217">
        <f t="shared" si="5"/>
        <v>44173</v>
      </c>
    </row>
    <row r="218" spans="4:7" x14ac:dyDescent="0.25">
      <c r="D218" s="2"/>
      <c r="F218" s="2" t="str">
        <v>2021/02/02 10:00:00</v>
      </c>
      <c r="G218">
        <f t="shared" si="5"/>
        <v>44229</v>
      </c>
    </row>
    <row r="219" spans="4:7" x14ac:dyDescent="0.25">
      <c r="D219" s="2"/>
      <c r="F219" s="2" t="str">
        <v>2021/02/16 10:00:00</v>
      </c>
      <c r="G219">
        <f t="shared" si="5"/>
        <v>44243</v>
      </c>
    </row>
    <row r="220" spans="4:7" x14ac:dyDescent="0.25">
      <c r="D220" s="2"/>
      <c r="F220" s="2" t="str">
        <v>2021/03/09 10:00:00</v>
      </c>
      <c r="G220">
        <f t="shared" si="5"/>
        <v>44264</v>
      </c>
    </row>
    <row r="221" spans="4:7" x14ac:dyDescent="0.25">
      <c r="D221" s="2"/>
      <c r="F221" s="2" t="str">
        <v>2021/04/30 09:00:00</v>
      </c>
      <c r="G221">
        <f t="shared" si="5"/>
        <v>44316</v>
      </c>
    </row>
    <row r="222" spans="4:7" x14ac:dyDescent="0.25">
      <c r="D222" s="2"/>
      <c r="F222" s="2" t="str">
        <v>2021/05/18 09:00:00</v>
      </c>
      <c r="G222">
        <f t="shared" si="5"/>
        <v>44334</v>
      </c>
    </row>
    <row r="223" spans="4:7" x14ac:dyDescent="0.25">
      <c r="D223" s="2"/>
      <c r="F223" s="2" t="str">
        <v>2021/06/08 09:00:00</v>
      </c>
      <c r="G223">
        <f t="shared" si="5"/>
        <v>44355</v>
      </c>
    </row>
    <row r="224" spans="4:7" x14ac:dyDescent="0.25">
      <c r="D224" s="2"/>
      <c r="F224" s="2" t="str">
        <v>2021/07/30 09:00:00</v>
      </c>
      <c r="G224">
        <f t="shared" si="5"/>
        <v>44407</v>
      </c>
    </row>
    <row r="225" spans="4:7" x14ac:dyDescent="0.25">
      <c r="D225" s="2"/>
      <c r="F225" s="2" t="str">
        <v>2021/08/17 09:00:00</v>
      </c>
      <c r="G225">
        <f t="shared" si="5"/>
        <v>44425</v>
      </c>
    </row>
    <row r="226" spans="4:7" x14ac:dyDescent="0.25">
      <c r="D226" s="2"/>
      <c r="F226" s="2" t="str">
        <v>2021/09/07 09:00:00</v>
      </c>
      <c r="G226">
        <f t="shared" si="5"/>
        <v>44446</v>
      </c>
    </row>
    <row r="227" spans="4:7" x14ac:dyDescent="0.25">
      <c r="D227" s="2"/>
      <c r="F227" s="2" t="str">
        <v>2021/10/29 09:00:00</v>
      </c>
      <c r="G227">
        <f t="shared" si="5"/>
        <v>44498</v>
      </c>
    </row>
    <row r="228" spans="4:7" x14ac:dyDescent="0.25">
      <c r="D228" s="2"/>
      <c r="F228" s="2" t="str">
        <v>2021/11/16 10:00:00</v>
      </c>
      <c r="G228">
        <f t="shared" si="5"/>
        <v>44516</v>
      </c>
    </row>
    <row r="229" spans="4:7" x14ac:dyDescent="0.25">
      <c r="D229" s="2"/>
      <c r="F229" s="2" t="str">
        <v>2021/12/07 10:00:00</v>
      </c>
      <c r="G229">
        <f t="shared" si="5"/>
        <v>44537</v>
      </c>
    </row>
    <row r="230" spans="4:7" x14ac:dyDescent="0.25">
      <c r="D230" s="2"/>
      <c r="F230" s="2" t="str">
        <v>2022/01/31 10:00:00</v>
      </c>
      <c r="G230">
        <f t="shared" si="5"/>
        <v>44592</v>
      </c>
    </row>
    <row r="231" spans="4:7" x14ac:dyDescent="0.25">
      <c r="D231" s="2"/>
      <c r="F231" s="2" t="str">
        <v>2022/02/15 10:00:00</v>
      </c>
      <c r="G231">
        <f t="shared" si="5"/>
        <v>44607</v>
      </c>
    </row>
    <row r="232" spans="4:7" x14ac:dyDescent="0.25">
      <c r="D232" s="2"/>
      <c r="F232" s="2" t="str">
        <v>2022/03/08 10:00:00</v>
      </c>
      <c r="G232">
        <f t="shared" si="5"/>
        <v>44628</v>
      </c>
    </row>
    <row r="233" spans="4:7" x14ac:dyDescent="0.25">
      <c r="D233" s="2"/>
      <c r="F233" s="2" t="str">
        <v>2022/04/29 09:00:00</v>
      </c>
      <c r="G233">
        <f t="shared" si="5"/>
        <v>44680</v>
      </c>
    </row>
    <row r="234" spans="4:7" x14ac:dyDescent="0.25">
      <c r="D234" s="2"/>
      <c r="F234" s="2" t="str">
        <v>2022/05/17 09:00:00</v>
      </c>
      <c r="G234">
        <f t="shared" si="5"/>
        <v>44698</v>
      </c>
    </row>
    <row r="235" spans="4:7" x14ac:dyDescent="0.25">
      <c r="D235" s="2"/>
      <c r="F235" s="2" t="str">
        <v>2022/06/08 09:00:00</v>
      </c>
      <c r="G235">
        <f t="shared" si="5"/>
        <v>44720</v>
      </c>
    </row>
    <row r="236" spans="4:7" x14ac:dyDescent="0.25">
      <c r="D236" s="2"/>
      <c r="F236" s="2" t="str">
        <v>2022/07/29 09:00:00</v>
      </c>
      <c r="G236">
        <f t="shared" si="5"/>
        <v>44771</v>
      </c>
    </row>
    <row r="237" spans="4:7" x14ac:dyDescent="0.25">
      <c r="D237" s="2"/>
      <c r="F237" s="2" t="str">
        <v>2022/08/17 09:00:00</v>
      </c>
      <c r="G237">
        <f t="shared" si="5"/>
        <v>44790</v>
      </c>
    </row>
    <row r="238" spans="4:7" x14ac:dyDescent="0.25">
      <c r="D238" s="2"/>
      <c r="F238" s="2" t="str">
        <v>2022/09/07 09:00:00</v>
      </c>
      <c r="G238">
        <f t="shared" si="5"/>
        <v>44811</v>
      </c>
    </row>
    <row r="239" spans="4:7" x14ac:dyDescent="0.25">
      <c r="D239" s="2"/>
      <c r="F239" s="2" t="str">
        <v>2022/10/31 10:00:00</v>
      </c>
      <c r="G239">
        <f t="shared" si="5"/>
        <v>44865</v>
      </c>
    </row>
    <row r="240" spans="4:7" x14ac:dyDescent="0.25">
      <c r="D240" s="2"/>
      <c r="F240" s="2" t="str">
        <v>2022/11/15 10:00:00</v>
      </c>
      <c r="G240">
        <f t="shared" si="5"/>
        <v>44880</v>
      </c>
    </row>
    <row r="241" spans="4:7" x14ac:dyDescent="0.25">
      <c r="D241" s="2"/>
      <c r="F241" s="2" t="str">
        <v>2022/12/07 10:00:00</v>
      </c>
      <c r="G241">
        <f t="shared" si="5"/>
        <v>44902</v>
      </c>
    </row>
    <row r="242" spans="4:7" x14ac:dyDescent="0.25">
      <c r="D242" s="2"/>
      <c r="F242" s="2" t="str">
        <v>2023/01/31 10:00:00</v>
      </c>
      <c r="G242">
        <f t="shared" si="5"/>
        <v>44957</v>
      </c>
    </row>
    <row r="243" spans="4:7" x14ac:dyDescent="0.25">
      <c r="D243" s="2"/>
      <c r="F243" s="2" t="str">
        <v>2023/02/14 10:00:00</v>
      </c>
      <c r="G243">
        <f t="shared" si="5"/>
        <v>44971</v>
      </c>
    </row>
    <row r="244" spans="4:7" x14ac:dyDescent="0.25">
      <c r="D244" s="2"/>
      <c r="F244" s="2" t="str">
        <v>2023/03/08 10:00:00</v>
      </c>
      <c r="G244">
        <f t="shared" si="5"/>
        <v>44993</v>
      </c>
    </row>
    <row r="245" spans="4:7" x14ac:dyDescent="0.25">
      <c r="D245" s="2"/>
      <c r="F245" s="2" t="str">
        <v>2023/04/28 09:00:00</v>
      </c>
      <c r="G245">
        <f t="shared" si="5"/>
        <v>45044</v>
      </c>
    </row>
    <row r="246" spans="4:7" x14ac:dyDescent="0.25">
      <c r="D246" s="2"/>
      <c r="F246" s="2" t="str">
        <v>2023/05/16 09:00:00</v>
      </c>
      <c r="G246">
        <f t="shared" si="5"/>
        <v>45062</v>
      </c>
    </row>
    <row r="247" spans="4:7" x14ac:dyDescent="0.25">
      <c r="D247" s="2"/>
      <c r="F247" s="2" t="str">
        <v>2023/06/08 09:00:00</v>
      </c>
      <c r="G247">
        <f t="shared" si="5"/>
        <v>45085</v>
      </c>
    </row>
    <row r="248" spans="4:7" x14ac:dyDescent="0.25">
      <c r="D248" s="2"/>
      <c r="F248" s="2" t="str">
        <v>2023/07/31 09:00:00</v>
      </c>
      <c r="G248">
        <f t="shared" si="5"/>
        <v>45138</v>
      </c>
    </row>
    <row r="249" spans="4:7" x14ac:dyDescent="0.25">
      <c r="D249" s="2"/>
      <c r="F249" s="2" t="str">
        <v>2023/08/16 09:00:00</v>
      </c>
      <c r="G249">
        <f t="shared" si="5"/>
        <v>45154</v>
      </c>
    </row>
    <row r="250" spans="4:7" x14ac:dyDescent="0.25">
      <c r="D250" s="2"/>
      <c r="F250" s="2" t="str">
        <v>2023/09/07 09:00:00</v>
      </c>
      <c r="G250">
        <f t="shared" si="5"/>
        <v>45176</v>
      </c>
    </row>
    <row r="251" spans="4:7" x14ac:dyDescent="0.25">
      <c r="D251" s="2"/>
      <c r="F251" s="2" t="str">
        <v>2023/10/31 10:00:00</v>
      </c>
      <c r="G251">
        <f t="shared" si="5"/>
        <v>45230</v>
      </c>
    </row>
    <row r="252" spans="4:7" x14ac:dyDescent="0.25">
      <c r="D252" s="2"/>
      <c r="F252" s="2" t="str">
        <v>2023/11/14 10:00:00</v>
      </c>
      <c r="G252">
        <f t="shared" si="5"/>
        <v>45244</v>
      </c>
    </row>
    <row r="253" spans="4:7" x14ac:dyDescent="0.25">
      <c r="D253" s="2"/>
      <c r="F253" s="2" t="str">
        <v>2023/12/07 10:00:00</v>
      </c>
      <c r="G253">
        <f t="shared" si="5"/>
        <v>45267</v>
      </c>
    </row>
    <row r="254" spans="4:7" x14ac:dyDescent="0.25">
      <c r="D254" s="2"/>
      <c r="F254" s="2" t="str">
        <v>2024/01/30 10:00:00</v>
      </c>
      <c r="G254">
        <f t="shared" si="5"/>
        <v>45321</v>
      </c>
    </row>
    <row r="255" spans="4:7" x14ac:dyDescent="0.25">
      <c r="D255" s="2"/>
      <c r="F255" s="2" t="str">
        <v>2024/02/14 10:00:00</v>
      </c>
      <c r="G255">
        <f t="shared" si="5"/>
        <v>45336</v>
      </c>
    </row>
    <row r="256" spans="4:7" x14ac:dyDescent="0.25">
      <c r="D256" s="2"/>
      <c r="F256" s="2" t="str">
        <v>2024/03/08 10:00:00</v>
      </c>
      <c r="G256">
        <f t="shared" si="5"/>
        <v>45359</v>
      </c>
    </row>
    <row r="257" spans="4:7" x14ac:dyDescent="0.25">
      <c r="D257" s="2"/>
      <c r="F257" s="2" t="str">
        <v>2024/04/30 09:00:00</v>
      </c>
      <c r="G257">
        <f t="shared" si="5"/>
        <v>45412</v>
      </c>
    </row>
    <row r="258" spans="4:7" x14ac:dyDescent="0.25">
      <c r="D258" s="2"/>
      <c r="F258" s="2" t="str">
        <v>2024/05/15 09:00:00</v>
      </c>
      <c r="G258">
        <f t="shared" ref="G258:G280" si="6">IFERROR(INT(F258),"")</f>
        <v>45427</v>
      </c>
    </row>
    <row r="259" spans="4:7" x14ac:dyDescent="0.25">
      <c r="D259" s="2"/>
      <c r="F259" s="2" t="str">
        <v>2024/06/07 09:00:00</v>
      </c>
      <c r="G259">
        <f t="shared" si="6"/>
        <v>45450</v>
      </c>
    </row>
    <row r="260" spans="4:7" x14ac:dyDescent="0.25">
      <c r="D260" s="2"/>
      <c r="F260" s="2" t="str">
        <v>2024/07/30 09:00:00</v>
      </c>
      <c r="G260">
        <f t="shared" si="6"/>
        <v>45503</v>
      </c>
    </row>
    <row r="261" spans="4:7" x14ac:dyDescent="0.25">
      <c r="D261" s="2"/>
      <c r="F261" s="2" t="str">
        <v>2024/08/14 09:00:00</v>
      </c>
      <c r="G261">
        <f t="shared" si="6"/>
        <v>45518</v>
      </c>
    </row>
    <row r="262" spans="4:7" x14ac:dyDescent="0.25">
      <c r="D262" s="2"/>
      <c r="F262" s="2" t="str">
        <v>2024/09/06 09:00:00</v>
      </c>
      <c r="G262">
        <f t="shared" si="6"/>
        <v>45541</v>
      </c>
    </row>
    <row r="263" spans="4:7" x14ac:dyDescent="0.25">
      <c r="D263" s="2"/>
      <c r="F263" s="2" t="str">
        <v>2024/10/30 10:00:00</v>
      </c>
      <c r="G263">
        <f t="shared" si="6"/>
        <v>45595</v>
      </c>
    </row>
    <row r="264" spans="4:7" x14ac:dyDescent="0.25">
      <c r="D264" s="2"/>
      <c r="F264" s="2" t="str">
        <v>2024/11/14 10:00:00</v>
      </c>
      <c r="G264">
        <f t="shared" si="6"/>
        <v>45610</v>
      </c>
    </row>
    <row r="265" spans="4:7" x14ac:dyDescent="0.25">
      <c r="D265" s="2"/>
      <c r="F265" s="2" t="str">
        <v>2024/12/06 10:00:00</v>
      </c>
      <c r="G265">
        <f t="shared" si="6"/>
        <v>45632</v>
      </c>
    </row>
    <row r="266" spans="4:7" x14ac:dyDescent="0.25">
      <c r="D266" s="2"/>
      <c r="F266" s="2" t="str">
        <v>2025/01/30 10:00:00</v>
      </c>
      <c r="G266">
        <f t="shared" si="6"/>
        <v>45687</v>
      </c>
    </row>
    <row r="267" spans="4:7" x14ac:dyDescent="0.25">
      <c r="D267" s="2"/>
      <c r="F267" s="2" t="str">
        <v>2025/02/14 10:00:00</v>
      </c>
      <c r="G267">
        <f t="shared" si="6"/>
        <v>45702</v>
      </c>
    </row>
    <row r="268" spans="4:7" x14ac:dyDescent="0.25">
      <c r="D268" s="2"/>
      <c r="F268" s="2" t="str">
        <v>2025/03/07 10:00:00</v>
      </c>
      <c r="G268">
        <f t="shared" si="6"/>
        <v>45723</v>
      </c>
    </row>
    <row r="269" spans="4:7" x14ac:dyDescent="0.25">
      <c r="D269" s="2"/>
      <c r="F269" s="2" t="str">
        <v>2025/04/30 09:00:00</v>
      </c>
      <c r="G269">
        <f t="shared" si="6"/>
        <v>45777</v>
      </c>
    </row>
    <row r="270" spans="4:7" x14ac:dyDescent="0.25">
      <c r="D270" s="2"/>
      <c r="F270" s="2" t="str">
        <v>2025/05/15 09:00:00</v>
      </c>
      <c r="G270">
        <f t="shared" si="6"/>
        <v>45792</v>
      </c>
    </row>
    <row r="271" spans="4:7" x14ac:dyDescent="0.25">
      <c r="D271" s="2"/>
      <c r="F271" s="2" t="str">
        <v>2025/06/06 09:00:00</v>
      </c>
      <c r="G271">
        <f t="shared" si="6"/>
        <v>45814</v>
      </c>
    </row>
    <row r="272" spans="4:7" x14ac:dyDescent="0.25">
      <c r="D272" s="2"/>
      <c r="F272" s="2" t="str">
        <v>2025/07/30 09:00:00</v>
      </c>
      <c r="G272">
        <f t="shared" si="6"/>
        <v>45868</v>
      </c>
    </row>
    <row r="273" spans="4:7" x14ac:dyDescent="0.25">
      <c r="D273" s="2"/>
      <c r="F273" s="2" t="str">
        <v>2025/08/14 09:00:00</v>
      </c>
      <c r="G273">
        <f t="shared" si="6"/>
        <v>45883</v>
      </c>
    </row>
    <row r="274" spans="4:7" x14ac:dyDescent="0.25">
      <c r="D274" s="2"/>
      <c r="F274" s="2" t="str">
        <v>2025/09/05 09:00:00</v>
      </c>
      <c r="G274">
        <f t="shared" si="6"/>
        <v>45905</v>
      </c>
    </row>
    <row r="275" spans="4:7" x14ac:dyDescent="0.25">
      <c r="D275" s="2"/>
      <c r="F275" s="2" t="str">
        <v>2025/10/30 10:00:00</v>
      </c>
      <c r="G275">
        <f t="shared" si="6"/>
        <v>45960</v>
      </c>
    </row>
    <row r="276" spans="4:7" x14ac:dyDescent="0.25">
      <c r="D276" s="2"/>
      <c r="F276" s="2" t="str">
        <v>2025/11/14 10:00:00</v>
      </c>
      <c r="G276">
        <f t="shared" si="6"/>
        <v>45975</v>
      </c>
    </row>
    <row r="277" spans="4:7" x14ac:dyDescent="0.25">
      <c r="D277" s="2"/>
      <c r="F277" s="2" t="str">
        <v>2025/12/05 10:00:00</v>
      </c>
      <c r="G277">
        <f t="shared" si="6"/>
        <v>45996</v>
      </c>
    </row>
    <row r="278" spans="4:7" x14ac:dyDescent="0.25">
      <c r="D278" s="2"/>
      <c r="F278" s="2" t="str">
        <v>2026/01/30 10:00:00</v>
      </c>
      <c r="G278">
        <f t="shared" si="6"/>
        <v>46052</v>
      </c>
    </row>
    <row r="279" spans="4:7" x14ac:dyDescent="0.25">
      <c r="D279" s="2"/>
      <c r="F279" s="2" t="str">
        <v>2026/02/13 10:00:00</v>
      </c>
      <c r="G279">
        <f t="shared" si="6"/>
        <v>46066</v>
      </c>
    </row>
    <row r="280" spans="4:7" x14ac:dyDescent="0.25">
      <c r="D280" s="2"/>
      <c r="F280" s="2" t="str">
        <v>2026/03/06 10:00:00</v>
      </c>
      <c r="G280">
        <f t="shared" si="6"/>
        <v>46087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467F-98FB-4BDE-8E56-F18FDBDCD75C}">
  <dimension ref="A1:G244"/>
  <sheetViews>
    <sheetView workbookViewId="0">
      <selection activeCell="F2" sqref="F2"/>
    </sheetView>
  </sheetViews>
  <sheetFormatPr defaultRowHeight="15" x14ac:dyDescent="0.25"/>
  <cols>
    <col min="1" max="1" width="20.28515625" bestFit="1" customWidth="1"/>
    <col min="2" max="2" width="6" bestFit="1" customWidth="1"/>
    <col min="3" max="3" width="5.85546875" bestFit="1" customWidth="1"/>
    <col min="4" max="4" width="17.7109375" bestFit="1" customWidth="1"/>
    <col min="5" max="5" width="18.28515625" customWidth="1"/>
    <col min="6" max="6" width="20.28515625" bestFit="1" customWidth="1"/>
    <col min="7" max="7" width="7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s="1" cm="1">
        <f t="array" ref="A2:C225">_xll.BDH("EUBCI Index","BN_SURVEY_MEDIAN,ACTUAL_RELEASE","2000-01-01","2026-03-19","RELEASE_DATE_OVERRIDE", "1")</f>
        <v>36899</v>
      </c>
      <c r="B2" t="str">
        <v>#N/A N/A</v>
      </c>
      <c r="C2">
        <v>1.24</v>
      </c>
      <c r="D2" s="2" t="str">
        <f t="shared" ref="D2:D65" si="0">IFERROR(_xlfn.XLOOKUP(A2,$G:$G,$F:$F,""),"")</f>
        <v>2001/01/08 11:00:00</v>
      </c>
      <c r="F2" s="2" t="str" cm="1">
        <f t="array" ref="F2:F225">_xll.BDS("EUBCI Index","ECO_FUTURE_RELEASE_DATE_LIST","START_DT=20000101","END_DT=20260319")</f>
        <v>2001/01/08 11:00:00</v>
      </c>
      <c r="G2">
        <f t="shared" ref="G2:G65" si="1">IFERROR(INT(F2),"")</f>
        <v>36899</v>
      </c>
    </row>
    <row r="3" spans="1:7" x14ac:dyDescent="0.25">
      <c r="A3" s="1">
        <v>36927</v>
      </c>
      <c r="B3" t="str">
        <v>#N/A N/A</v>
      </c>
      <c r="C3">
        <v>0.95</v>
      </c>
      <c r="D3" s="2" t="str">
        <f t="shared" si="0"/>
        <v>2001/02/05 11:00:00</v>
      </c>
      <c r="F3" s="2" t="str">
        <v>2001/02/05 11:00:00</v>
      </c>
      <c r="G3">
        <f t="shared" si="1"/>
        <v>36927</v>
      </c>
    </row>
    <row r="4" spans="1:7" x14ac:dyDescent="0.25">
      <c r="A4" s="1">
        <v>36955</v>
      </c>
      <c r="B4" t="str">
        <v>#N/A N/A</v>
      </c>
      <c r="C4">
        <v>0.95</v>
      </c>
      <c r="D4" s="2" t="str">
        <f t="shared" si="0"/>
        <v>2001/03/05 11:00:00</v>
      </c>
      <c r="F4" s="2" t="str">
        <v>2001/03/05 11:00:00</v>
      </c>
      <c r="G4">
        <f t="shared" si="1"/>
        <v>36955</v>
      </c>
    </row>
    <row r="5" spans="1:7" x14ac:dyDescent="0.25">
      <c r="A5" s="1">
        <v>36985</v>
      </c>
      <c r="B5" t="str">
        <v>#N/A N/A</v>
      </c>
      <c r="C5">
        <v>0.59</v>
      </c>
      <c r="D5" s="2" t="str">
        <f t="shared" si="0"/>
        <v>2001/04/04 10:00:00</v>
      </c>
      <c r="F5" s="2" t="str">
        <v>2001/04/04 10:00:00</v>
      </c>
      <c r="G5">
        <f t="shared" si="1"/>
        <v>36985</v>
      </c>
    </row>
    <row r="6" spans="1:7" x14ac:dyDescent="0.25">
      <c r="A6" s="1">
        <v>37015</v>
      </c>
      <c r="B6" t="str">
        <v>#N/A N/A</v>
      </c>
      <c r="C6">
        <v>0.36</v>
      </c>
      <c r="D6" s="2" t="str">
        <f t="shared" si="0"/>
        <v>2001/05/04 10:00:00</v>
      </c>
      <c r="F6" s="2" t="str">
        <v>2001/05/04 10:00:00</v>
      </c>
      <c r="G6">
        <f t="shared" si="1"/>
        <v>37015</v>
      </c>
    </row>
    <row r="7" spans="1:7" x14ac:dyDescent="0.25">
      <c r="A7" s="1">
        <v>37048</v>
      </c>
      <c r="B7" t="str">
        <v>#N/A N/A</v>
      </c>
      <c r="C7">
        <v>0.06</v>
      </c>
      <c r="D7" s="2" t="str">
        <f t="shared" si="0"/>
        <v>2001/06/06 10:00:00</v>
      </c>
      <c r="F7" s="2" t="str">
        <v>2001/06/06 10:00:00</v>
      </c>
      <c r="G7">
        <f t="shared" si="1"/>
        <v>37048</v>
      </c>
    </row>
    <row r="8" spans="1:7" x14ac:dyDescent="0.25">
      <c r="A8" s="1">
        <v>37076</v>
      </c>
      <c r="B8" t="str">
        <v>#N/A N/A</v>
      </c>
      <c r="C8">
        <v>-0.02</v>
      </c>
      <c r="D8" s="2" t="str">
        <f t="shared" si="0"/>
        <v>2001/07/04 10:00:00</v>
      </c>
      <c r="F8" s="2" t="str">
        <v>2001/07/04 10:00:00</v>
      </c>
      <c r="G8">
        <f t="shared" si="1"/>
        <v>37076</v>
      </c>
    </row>
    <row r="9" spans="1:7" x14ac:dyDescent="0.25">
      <c r="A9" s="1">
        <v>37106</v>
      </c>
      <c r="B9">
        <v>-0.17</v>
      </c>
      <c r="C9">
        <v>-0.36</v>
      </c>
      <c r="D9" s="2" t="str">
        <f t="shared" si="0"/>
        <v>2001/08/03 10:00:00</v>
      </c>
      <c r="F9" s="2" t="str">
        <v>2001/08/03 10:00:00</v>
      </c>
      <c r="G9">
        <f t="shared" si="1"/>
        <v>37106</v>
      </c>
    </row>
    <row r="10" spans="1:7" x14ac:dyDescent="0.25">
      <c r="A10" s="1">
        <v>37167</v>
      </c>
      <c r="B10" t="str">
        <v>#N/A N/A</v>
      </c>
      <c r="C10">
        <v>-0.56999999999999995</v>
      </c>
      <c r="D10" s="2" t="str">
        <f t="shared" si="0"/>
        <v>2001/10/03 10:00:00</v>
      </c>
      <c r="F10" s="2" t="str">
        <v>2001/10/03 10:00:00</v>
      </c>
      <c r="G10">
        <f t="shared" si="1"/>
        <v>37167</v>
      </c>
    </row>
    <row r="11" spans="1:7" x14ac:dyDescent="0.25">
      <c r="A11" s="1">
        <v>37202</v>
      </c>
      <c r="B11">
        <v>-0.77</v>
      </c>
      <c r="C11">
        <v>-1.1399999999999999</v>
      </c>
      <c r="D11" s="2" t="str">
        <f t="shared" si="0"/>
        <v>2001/11/07 11:00:00</v>
      </c>
      <c r="F11" s="2" t="str">
        <v>2001/11/07 11:00:00</v>
      </c>
      <c r="G11">
        <f t="shared" si="1"/>
        <v>37202</v>
      </c>
    </row>
    <row r="12" spans="1:7" x14ac:dyDescent="0.25">
      <c r="A12" s="1">
        <v>37230</v>
      </c>
      <c r="B12">
        <v>-1.3</v>
      </c>
      <c r="C12">
        <v>-1.18</v>
      </c>
      <c r="D12" s="2" t="str">
        <f t="shared" si="0"/>
        <v>2001/12/05 11:00:00</v>
      </c>
      <c r="F12" s="2" t="str">
        <v>2001/12/05 11:00:00</v>
      </c>
      <c r="G12">
        <f t="shared" si="1"/>
        <v>37230</v>
      </c>
    </row>
    <row r="13" spans="1:7" x14ac:dyDescent="0.25">
      <c r="A13" s="1">
        <v>37265</v>
      </c>
      <c r="B13">
        <v>-1.17</v>
      </c>
      <c r="C13">
        <v>-1.23</v>
      </c>
      <c r="D13" s="2" t="str">
        <f t="shared" si="0"/>
        <v>2002/01/09 11:00:00</v>
      </c>
      <c r="F13" s="2" t="str">
        <v>2002/01/09 11:00:00</v>
      </c>
      <c r="G13">
        <f t="shared" si="1"/>
        <v>37265</v>
      </c>
    </row>
    <row r="14" spans="1:7" x14ac:dyDescent="0.25">
      <c r="A14" s="1">
        <v>37292</v>
      </c>
      <c r="B14">
        <v>-1.0900000000000001</v>
      </c>
      <c r="C14">
        <v>-1.03</v>
      </c>
      <c r="D14" s="2" t="str">
        <f t="shared" si="0"/>
        <v>2002/02/05 11:00:00</v>
      </c>
      <c r="F14" s="2" t="str">
        <v>2002/02/05 11:00:00</v>
      </c>
      <c r="G14">
        <f t="shared" si="1"/>
        <v>37292</v>
      </c>
    </row>
    <row r="15" spans="1:7" x14ac:dyDescent="0.25">
      <c r="A15" s="1">
        <v>37319</v>
      </c>
      <c r="B15">
        <v>-0.76</v>
      </c>
      <c r="C15">
        <v>-0.86</v>
      </c>
      <c r="D15" s="2" t="str">
        <f t="shared" si="0"/>
        <v>2002/03/04 11:00:00</v>
      </c>
      <c r="F15" s="2" t="str">
        <v>2002/03/04 11:00:00</v>
      </c>
      <c r="G15">
        <f t="shared" si="1"/>
        <v>37319</v>
      </c>
    </row>
    <row r="16" spans="1:7" x14ac:dyDescent="0.25">
      <c r="A16" s="1">
        <v>37349</v>
      </c>
      <c r="B16" t="str">
        <v>#N/A N/A</v>
      </c>
      <c r="C16">
        <v>-0.62</v>
      </c>
      <c r="D16" s="2" t="str">
        <f t="shared" si="0"/>
        <v>2002/04/03 10:00:00</v>
      </c>
      <c r="F16" s="2" t="str">
        <v>2002/04/03 10:00:00</v>
      </c>
      <c r="G16">
        <f t="shared" si="1"/>
        <v>37349</v>
      </c>
    </row>
    <row r="17" spans="1:7" x14ac:dyDescent="0.25">
      <c r="A17" s="1">
        <v>37379</v>
      </c>
      <c r="B17" t="str">
        <v>#N/A N/A</v>
      </c>
      <c r="C17">
        <v>-0.64</v>
      </c>
      <c r="D17" s="2" t="str">
        <f t="shared" si="0"/>
        <v>2002/05/03 10:00:00</v>
      </c>
      <c r="F17" s="2" t="str">
        <v>2002/05/03 10:00:00</v>
      </c>
      <c r="G17">
        <f t="shared" si="1"/>
        <v>37379</v>
      </c>
    </row>
    <row r="18" spans="1:7" x14ac:dyDescent="0.25">
      <c r="A18" s="1">
        <v>37411</v>
      </c>
      <c r="B18">
        <v>-0.5</v>
      </c>
      <c r="C18">
        <v>-0.24</v>
      </c>
      <c r="D18" s="2" t="str">
        <f t="shared" si="0"/>
        <v>2002/06/04 10:00:00</v>
      </c>
      <c r="F18" s="2" t="str">
        <v>2002/06/04 10:00:00</v>
      </c>
      <c r="G18">
        <f t="shared" si="1"/>
        <v>37411</v>
      </c>
    </row>
    <row r="19" spans="1:7" x14ac:dyDescent="0.25">
      <c r="A19" s="1">
        <v>37439</v>
      </c>
      <c r="B19">
        <v>-0.24</v>
      </c>
      <c r="C19">
        <v>-0.43</v>
      </c>
      <c r="D19" s="2" t="str">
        <f t="shared" si="0"/>
        <v>2002/07/02 10:00:00</v>
      </c>
      <c r="F19" s="2" t="str">
        <v>2002/07/02 10:00:00</v>
      </c>
      <c r="G19">
        <f t="shared" si="1"/>
        <v>37439</v>
      </c>
    </row>
    <row r="20" spans="1:7" x14ac:dyDescent="0.25">
      <c r="A20" s="1">
        <v>37470</v>
      </c>
      <c r="B20">
        <v>-0.56000000000000005</v>
      </c>
      <c r="C20">
        <v>-0.35</v>
      </c>
      <c r="D20" s="2" t="str">
        <f t="shared" si="0"/>
        <v>2002/08/02 10:00:00</v>
      </c>
      <c r="F20" s="2" t="str">
        <v>2002/08/02 10:00:00</v>
      </c>
      <c r="G20">
        <f t="shared" si="1"/>
        <v>37470</v>
      </c>
    </row>
    <row r="21" spans="1:7" x14ac:dyDescent="0.25">
      <c r="A21" s="1">
        <v>37531</v>
      </c>
      <c r="B21">
        <v>-0.5</v>
      </c>
      <c r="C21">
        <v>-0.55000000000000004</v>
      </c>
      <c r="D21" s="2" t="str">
        <f t="shared" si="0"/>
        <v>2002/10/02 10:00:00</v>
      </c>
      <c r="F21" s="2" t="str">
        <v>2002/10/02 10:00:00</v>
      </c>
      <c r="G21">
        <f t="shared" si="1"/>
        <v>37531</v>
      </c>
    </row>
    <row r="22" spans="1:7" x14ac:dyDescent="0.25">
      <c r="A22" s="1">
        <v>37560</v>
      </c>
      <c r="B22" t="str">
        <v>#N/A N/A</v>
      </c>
      <c r="C22">
        <v>-0.42</v>
      </c>
      <c r="D22" s="2" t="str">
        <f t="shared" si="0"/>
        <v>2002/10/31 11:00:00</v>
      </c>
      <c r="F22" s="2" t="str">
        <v>2002/10/31 11:00:00</v>
      </c>
      <c r="G22">
        <f t="shared" si="1"/>
        <v>37560</v>
      </c>
    </row>
    <row r="23" spans="1:7" x14ac:dyDescent="0.25">
      <c r="A23" s="1">
        <v>37589</v>
      </c>
      <c r="B23" t="str">
        <v>#N/A N/A</v>
      </c>
      <c r="C23">
        <v>-0.36</v>
      </c>
      <c r="D23" s="2" t="str">
        <f t="shared" si="0"/>
        <v>2002/11/29 11:00:00</v>
      </c>
      <c r="F23" s="2" t="str">
        <v>2002/11/29 11:00:00</v>
      </c>
      <c r="G23">
        <f t="shared" si="1"/>
        <v>37589</v>
      </c>
    </row>
    <row r="24" spans="1:7" x14ac:dyDescent="0.25">
      <c r="A24" s="1">
        <v>37628</v>
      </c>
      <c r="B24" t="str">
        <v>#N/A N/A</v>
      </c>
      <c r="C24">
        <v>-0.24</v>
      </c>
      <c r="D24" s="2" t="str">
        <f t="shared" si="0"/>
        <v>2003/01/07 11:00:00</v>
      </c>
      <c r="F24" s="2" t="str">
        <v>2003/01/07 11:00:00</v>
      </c>
      <c r="G24">
        <f t="shared" si="1"/>
        <v>37628</v>
      </c>
    </row>
    <row r="25" spans="1:7" x14ac:dyDescent="0.25">
      <c r="A25" s="1">
        <v>37652</v>
      </c>
      <c r="B25" t="str">
        <v>#N/A N/A</v>
      </c>
      <c r="C25">
        <v>-0.28999999999999998</v>
      </c>
      <c r="D25" s="2" t="str">
        <f t="shared" si="0"/>
        <v>2003/01/31 11:00:00</v>
      </c>
      <c r="F25" s="2" t="str">
        <v>2003/01/31 11:00:00</v>
      </c>
      <c r="G25">
        <f t="shared" si="1"/>
        <v>37652</v>
      </c>
    </row>
    <row r="26" spans="1:7" x14ac:dyDescent="0.25">
      <c r="A26" s="1">
        <v>37680</v>
      </c>
      <c r="B26">
        <v>-0.37</v>
      </c>
      <c r="C26">
        <v>-0.36</v>
      </c>
      <c r="D26" s="2" t="str">
        <f t="shared" si="0"/>
        <v>2003/02/28 11:00:00</v>
      </c>
      <c r="F26" s="2" t="str">
        <v>2003/02/28 11:00:00</v>
      </c>
      <c r="G26">
        <f t="shared" si="1"/>
        <v>37680</v>
      </c>
    </row>
    <row r="27" spans="1:7" x14ac:dyDescent="0.25">
      <c r="A27" s="1">
        <v>37711</v>
      </c>
      <c r="B27">
        <v>-0.42</v>
      </c>
      <c r="C27">
        <v>-0.6</v>
      </c>
      <c r="D27" s="2" t="str">
        <f t="shared" si="0"/>
        <v>2003/03/31 10:00:00</v>
      </c>
      <c r="F27" s="2" t="str">
        <v>2003/03/31 10:00:00</v>
      </c>
      <c r="G27">
        <f t="shared" si="1"/>
        <v>37711</v>
      </c>
    </row>
    <row r="28" spans="1:7" x14ac:dyDescent="0.25">
      <c r="A28" s="1">
        <v>37741</v>
      </c>
      <c r="B28">
        <v>-0.56999999999999995</v>
      </c>
      <c r="C28">
        <v>-0.7</v>
      </c>
      <c r="D28" s="2" t="str">
        <f t="shared" si="0"/>
        <v>2003/04/30 10:00:00</v>
      </c>
      <c r="F28" s="2" t="str">
        <v>2003/04/30 10:00:00</v>
      </c>
      <c r="G28">
        <f t="shared" si="1"/>
        <v>37741</v>
      </c>
    </row>
    <row r="29" spans="1:7" x14ac:dyDescent="0.25">
      <c r="A29" s="1">
        <v>37774</v>
      </c>
      <c r="B29">
        <v>-0.69</v>
      </c>
      <c r="C29">
        <v>-0.68</v>
      </c>
      <c r="D29" s="2" t="str">
        <f t="shared" si="0"/>
        <v>2003/06/02 10:00:00</v>
      </c>
      <c r="F29" s="2" t="str">
        <v>2003/06/02 10:00:00</v>
      </c>
      <c r="G29">
        <f t="shared" si="1"/>
        <v>37774</v>
      </c>
    </row>
    <row r="30" spans="1:7" x14ac:dyDescent="0.25">
      <c r="A30" s="1">
        <v>37802</v>
      </c>
      <c r="B30">
        <v>-0.56999999999999995</v>
      </c>
      <c r="C30">
        <v>-0.61</v>
      </c>
      <c r="D30" s="2" t="str">
        <f t="shared" si="0"/>
        <v>2003/06/30 10:00:00</v>
      </c>
      <c r="F30" s="2" t="str">
        <v>2003/06/30 10:00:00</v>
      </c>
      <c r="G30">
        <f t="shared" si="1"/>
        <v>37802</v>
      </c>
    </row>
    <row r="31" spans="1:7" x14ac:dyDescent="0.25">
      <c r="A31" s="1">
        <v>37833</v>
      </c>
      <c r="B31">
        <v>-0.55000000000000004</v>
      </c>
      <c r="C31">
        <v>-0.89</v>
      </c>
      <c r="D31" s="2" t="str">
        <f t="shared" si="0"/>
        <v>2003/07/31 10:00:00</v>
      </c>
      <c r="F31" s="2" t="str">
        <v>2003/07/31 10:00:00</v>
      </c>
      <c r="G31">
        <f t="shared" si="1"/>
        <v>37833</v>
      </c>
    </row>
    <row r="32" spans="1:7" x14ac:dyDescent="0.25">
      <c r="A32" s="1">
        <v>37894</v>
      </c>
      <c r="B32" t="str">
        <v>#N/A N/A</v>
      </c>
      <c r="C32">
        <v>-0.42</v>
      </c>
      <c r="D32" s="2" t="str">
        <f t="shared" si="0"/>
        <v>2003/09/30 10:00:00</v>
      </c>
      <c r="F32" s="2" t="str">
        <v>2003/09/30 10:00:00</v>
      </c>
      <c r="G32">
        <f t="shared" si="1"/>
        <v>37894</v>
      </c>
    </row>
    <row r="33" spans="1:7" x14ac:dyDescent="0.25">
      <c r="A33" s="1">
        <v>37925</v>
      </c>
      <c r="B33" t="str">
        <v>#N/A N/A</v>
      </c>
      <c r="C33">
        <v>-0.18</v>
      </c>
      <c r="D33" s="2" t="str">
        <f t="shared" si="0"/>
        <v>2003/10/31 11:00:00</v>
      </c>
      <c r="F33" s="2" t="str">
        <v>2003/10/31 11:00:00</v>
      </c>
      <c r="G33">
        <f t="shared" si="1"/>
        <v>37925</v>
      </c>
    </row>
    <row r="34" spans="1:7" x14ac:dyDescent="0.25">
      <c r="A34" s="1">
        <v>37953</v>
      </c>
      <c r="B34">
        <v>-0.13</v>
      </c>
      <c r="C34">
        <v>0.02</v>
      </c>
      <c r="D34" s="2" t="str">
        <f t="shared" si="0"/>
        <v>2003/11/28 11:00:00</v>
      </c>
      <c r="F34" s="2" t="str">
        <v>2003/11/28 11:00:00</v>
      </c>
      <c r="G34">
        <f t="shared" si="1"/>
        <v>37953</v>
      </c>
    </row>
    <row r="35" spans="1:7" x14ac:dyDescent="0.25">
      <c r="A35" s="1">
        <v>37993</v>
      </c>
      <c r="B35" t="str">
        <v>#N/A N/A</v>
      </c>
      <c r="C35">
        <v>0.01</v>
      </c>
      <c r="D35" s="2" t="str">
        <f t="shared" si="0"/>
        <v>2004/01/07 11:00:00</v>
      </c>
      <c r="F35" s="2" t="str">
        <v>2004/01/07 11:00:00</v>
      </c>
      <c r="G35">
        <f t="shared" si="1"/>
        <v>37993</v>
      </c>
    </row>
    <row r="36" spans="1:7" x14ac:dyDescent="0.25">
      <c r="A36" s="1">
        <v>38016</v>
      </c>
      <c r="B36">
        <v>0</v>
      </c>
      <c r="C36">
        <v>0.04</v>
      </c>
      <c r="D36" s="2" t="str">
        <f t="shared" si="0"/>
        <v>2004/01/30 11:00:00</v>
      </c>
      <c r="F36" s="2" t="str">
        <v>2004/01/30 11:00:00</v>
      </c>
      <c r="G36">
        <f t="shared" si="1"/>
        <v>38016</v>
      </c>
    </row>
    <row r="37" spans="1:7" x14ac:dyDescent="0.25">
      <c r="A37" s="1">
        <v>38044</v>
      </c>
      <c r="B37">
        <v>0.08</v>
      </c>
      <c r="C37">
        <v>0.01</v>
      </c>
      <c r="D37" s="2" t="str">
        <f t="shared" si="0"/>
        <v>2004/02/27 11:00:00</v>
      </c>
      <c r="F37" s="2" t="str">
        <v>2004/02/27 11:00:00</v>
      </c>
      <c r="G37">
        <f t="shared" si="1"/>
        <v>38044</v>
      </c>
    </row>
    <row r="38" spans="1:7" x14ac:dyDescent="0.25">
      <c r="A38" s="1">
        <v>38077</v>
      </c>
      <c r="B38">
        <v>0</v>
      </c>
      <c r="C38">
        <v>-0.1</v>
      </c>
      <c r="D38" s="2" t="str">
        <f t="shared" si="0"/>
        <v>2004/03/31 09:00:00</v>
      </c>
      <c r="F38" s="2" t="str">
        <v>2004/03/31 09:00:00</v>
      </c>
      <c r="G38">
        <f t="shared" si="1"/>
        <v>38077</v>
      </c>
    </row>
    <row r="39" spans="1:7" x14ac:dyDescent="0.25">
      <c r="A39" s="1">
        <v>38107</v>
      </c>
      <c r="B39">
        <v>-0.1</v>
      </c>
      <c r="C39">
        <v>0.38</v>
      </c>
      <c r="D39" s="2" t="str">
        <f t="shared" si="0"/>
        <v>2004/04/30 09:00:00</v>
      </c>
      <c r="F39" s="2" t="str">
        <v>2004/04/30 09:00:00</v>
      </c>
      <c r="G39">
        <f t="shared" si="1"/>
        <v>38107</v>
      </c>
    </row>
    <row r="40" spans="1:7" x14ac:dyDescent="0.25">
      <c r="A40" s="1">
        <v>38135</v>
      </c>
      <c r="B40">
        <v>0.4</v>
      </c>
      <c r="C40">
        <v>0.28000000000000003</v>
      </c>
      <c r="D40" s="2" t="str">
        <f t="shared" si="0"/>
        <v>2004/05/28 09:00:00</v>
      </c>
      <c r="F40" s="2" t="str">
        <v>2004/05/28 09:00:00</v>
      </c>
      <c r="G40">
        <f t="shared" si="1"/>
        <v>38135</v>
      </c>
    </row>
    <row r="41" spans="1:7" x14ac:dyDescent="0.25">
      <c r="A41" s="1">
        <v>38168</v>
      </c>
      <c r="B41">
        <v>0.34</v>
      </c>
      <c r="C41">
        <v>0.43</v>
      </c>
      <c r="D41" s="2" t="str">
        <f t="shared" si="0"/>
        <v>2004/06/30 09:00:00</v>
      </c>
      <c r="F41" s="2" t="str">
        <v>2004/06/30 09:00:00</v>
      </c>
      <c r="G41">
        <f t="shared" si="1"/>
        <v>38168</v>
      </c>
    </row>
    <row r="42" spans="1:7" x14ac:dyDescent="0.25">
      <c r="A42" s="1">
        <v>38198</v>
      </c>
      <c r="B42">
        <v>0.44</v>
      </c>
      <c r="C42">
        <v>0.57999999999999996</v>
      </c>
      <c r="D42" s="2" t="str">
        <f t="shared" si="0"/>
        <v>2004/07/30 09:00:00</v>
      </c>
      <c r="F42" s="2" t="str">
        <v>2004/07/30 09:00:00</v>
      </c>
      <c r="G42">
        <f t="shared" si="1"/>
        <v>38198</v>
      </c>
    </row>
    <row r="43" spans="1:7" x14ac:dyDescent="0.25">
      <c r="A43" s="1">
        <v>38260</v>
      </c>
      <c r="B43">
        <v>0.51</v>
      </c>
      <c r="C43">
        <v>0.48</v>
      </c>
      <c r="D43" s="2" t="str">
        <f t="shared" si="0"/>
        <v>2004/09/30 09:00:00</v>
      </c>
      <c r="F43" s="2" t="str">
        <v>2004/09/30 09:00:00</v>
      </c>
      <c r="G43">
        <f t="shared" si="1"/>
        <v>38260</v>
      </c>
    </row>
    <row r="44" spans="1:7" x14ac:dyDescent="0.25">
      <c r="A44" s="1">
        <v>38289</v>
      </c>
      <c r="B44">
        <v>0.43</v>
      </c>
      <c r="C44">
        <v>0.54</v>
      </c>
      <c r="D44" s="2" t="str">
        <f t="shared" si="0"/>
        <v>2004/10/29 09:00:00</v>
      </c>
      <c r="F44" s="2" t="str">
        <v>2004/10/29 09:00:00</v>
      </c>
      <c r="G44">
        <f t="shared" si="1"/>
        <v>38289</v>
      </c>
    </row>
    <row r="45" spans="1:7" x14ac:dyDescent="0.25">
      <c r="A45" s="1">
        <v>38321</v>
      </c>
      <c r="B45">
        <v>0.48</v>
      </c>
      <c r="C45">
        <v>0.39</v>
      </c>
      <c r="D45" s="2" t="str">
        <f t="shared" si="0"/>
        <v>2004/11/30 10:00:00</v>
      </c>
      <c r="F45" s="2" t="str">
        <v>2004/11/30 10:00:00</v>
      </c>
      <c r="G45">
        <f t="shared" si="1"/>
        <v>38321</v>
      </c>
    </row>
    <row r="46" spans="1:7" x14ac:dyDescent="0.25">
      <c r="A46" s="1">
        <v>38358</v>
      </c>
      <c r="B46">
        <v>0.41</v>
      </c>
      <c r="C46">
        <v>0.43</v>
      </c>
      <c r="D46" s="2" t="str">
        <f t="shared" si="0"/>
        <v>2005/01/06 10:00:00</v>
      </c>
      <c r="F46" s="2" t="str">
        <v>2005/01/06 10:00:00</v>
      </c>
      <c r="G46">
        <f t="shared" si="1"/>
        <v>38358</v>
      </c>
    </row>
    <row r="47" spans="1:7" x14ac:dyDescent="0.25">
      <c r="A47" s="1">
        <v>38383</v>
      </c>
      <c r="B47">
        <v>0.48</v>
      </c>
      <c r="C47">
        <v>0.4</v>
      </c>
      <c r="D47" s="2" t="str">
        <f t="shared" si="0"/>
        <v>2005/01/31 10:00:00</v>
      </c>
      <c r="F47" s="2" t="str">
        <v>2005/01/31 10:00:00</v>
      </c>
      <c r="G47">
        <f t="shared" si="1"/>
        <v>38383</v>
      </c>
    </row>
    <row r="48" spans="1:7" x14ac:dyDescent="0.25">
      <c r="A48" s="1">
        <v>38411</v>
      </c>
      <c r="B48">
        <v>0.4</v>
      </c>
      <c r="C48">
        <v>0.2</v>
      </c>
      <c r="D48" s="2" t="str">
        <f t="shared" si="0"/>
        <v>2005/02/28 10:00:00</v>
      </c>
      <c r="F48" s="2" t="str">
        <v>2005/02/28 10:00:00</v>
      </c>
      <c r="G48">
        <f t="shared" si="1"/>
        <v>38411</v>
      </c>
    </row>
    <row r="49" spans="1:7" x14ac:dyDescent="0.25">
      <c r="A49" s="1">
        <v>38442</v>
      </c>
      <c r="B49">
        <v>0.25</v>
      </c>
      <c r="C49">
        <v>-0.08</v>
      </c>
      <c r="D49" s="2" t="str">
        <f t="shared" si="0"/>
        <v>2005/03/31 09:00:00</v>
      </c>
      <c r="F49" s="2" t="str">
        <v>2005/03/31 09:00:00</v>
      </c>
      <c r="G49">
        <f t="shared" si="1"/>
        <v>38442</v>
      </c>
    </row>
    <row r="50" spans="1:7" x14ac:dyDescent="0.25">
      <c r="A50" s="1">
        <v>38471</v>
      </c>
      <c r="B50">
        <v>-0.15</v>
      </c>
      <c r="C50">
        <v>-0.28000000000000003</v>
      </c>
      <c r="D50" s="2" t="str">
        <f t="shared" si="0"/>
        <v>2005/04/29 09:00:00</v>
      </c>
      <c r="F50" s="2" t="str">
        <v>2005/04/29 09:00:00</v>
      </c>
      <c r="G50">
        <f t="shared" si="1"/>
        <v>38471</v>
      </c>
    </row>
    <row r="51" spans="1:7" x14ac:dyDescent="0.25">
      <c r="A51" s="1">
        <v>38503</v>
      </c>
      <c r="B51">
        <v>-0.35</v>
      </c>
      <c r="C51">
        <v>-0.37</v>
      </c>
      <c r="D51" s="2" t="str">
        <f t="shared" si="0"/>
        <v>2005/05/31 09:00:00</v>
      </c>
      <c r="F51" s="2" t="str">
        <v>2005/05/31 09:00:00</v>
      </c>
      <c r="G51">
        <f t="shared" si="1"/>
        <v>38503</v>
      </c>
    </row>
    <row r="52" spans="1:7" x14ac:dyDescent="0.25">
      <c r="A52" s="1">
        <v>38533</v>
      </c>
      <c r="B52">
        <v>-0.35</v>
      </c>
      <c r="C52">
        <v>-0.28999999999999998</v>
      </c>
      <c r="D52" s="2" t="str">
        <f t="shared" si="0"/>
        <v>2005/06/30 09:00:00</v>
      </c>
      <c r="F52" s="2" t="str">
        <v>2005/06/30 09:00:00</v>
      </c>
      <c r="G52">
        <f t="shared" si="1"/>
        <v>38533</v>
      </c>
    </row>
    <row r="53" spans="1:7" x14ac:dyDescent="0.25">
      <c r="A53" s="1">
        <v>38562</v>
      </c>
      <c r="B53">
        <v>-0.24</v>
      </c>
      <c r="C53">
        <v>-7.0000000000000007E-2</v>
      </c>
      <c r="D53" s="2" t="str">
        <f t="shared" si="0"/>
        <v>2005/07/29 09:00:00</v>
      </c>
      <c r="F53" s="2" t="str">
        <v>2005/07/29 09:00:00</v>
      </c>
      <c r="G53">
        <f t="shared" si="1"/>
        <v>38562</v>
      </c>
    </row>
    <row r="54" spans="1:7" x14ac:dyDescent="0.25">
      <c r="A54" s="1">
        <v>38625</v>
      </c>
      <c r="B54">
        <v>-0.14000000000000001</v>
      </c>
      <c r="C54">
        <v>7.0000000000000007E-2</v>
      </c>
      <c r="D54" s="2" t="str">
        <f t="shared" si="0"/>
        <v>2005/09/30 09:00:00</v>
      </c>
      <c r="F54" s="2" t="str">
        <v>2005/09/30 09:00:00</v>
      </c>
      <c r="G54">
        <f t="shared" si="1"/>
        <v>38625</v>
      </c>
    </row>
    <row r="55" spans="1:7" x14ac:dyDescent="0.25">
      <c r="A55" s="1">
        <v>38653</v>
      </c>
      <c r="B55">
        <v>0.13</v>
      </c>
      <c r="C55">
        <v>0.15</v>
      </c>
      <c r="D55" s="2" t="str">
        <f t="shared" si="0"/>
        <v>2005/10/28 09:00:00</v>
      </c>
      <c r="F55" s="2" t="str">
        <v>2005/10/28 09:00:00</v>
      </c>
      <c r="G55">
        <f t="shared" si="1"/>
        <v>38653</v>
      </c>
    </row>
    <row r="56" spans="1:7" x14ac:dyDescent="0.25">
      <c r="A56" s="1">
        <v>38686</v>
      </c>
      <c r="B56">
        <v>0.2</v>
      </c>
      <c r="C56">
        <v>0.13</v>
      </c>
      <c r="D56" s="2" t="str">
        <f t="shared" si="0"/>
        <v>2005/11/30 10:00:00</v>
      </c>
      <c r="F56" s="2" t="str">
        <v>2005/11/30 10:00:00</v>
      </c>
      <c r="G56">
        <f t="shared" si="1"/>
        <v>38686</v>
      </c>
    </row>
    <row r="57" spans="1:7" x14ac:dyDescent="0.25">
      <c r="A57" s="1">
        <v>38722</v>
      </c>
      <c r="B57">
        <v>0.2</v>
      </c>
      <c r="C57">
        <v>0.35</v>
      </c>
      <c r="D57" s="2" t="str">
        <f t="shared" si="0"/>
        <v>2006/01/05 10:00:00</v>
      </c>
      <c r="F57" s="2" t="str">
        <v>2006/01/05 10:00:00</v>
      </c>
      <c r="G57">
        <f t="shared" si="1"/>
        <v>38722</v>
      </c>
    </row>
    <row r="58" spans="1:7" x14ac:dyDescent="0.25">
      <c r="A58" s="1">
        <v>38748</v>
      </c>
      <c r="B58">
        <v>0.41</v>
      </c>
      <c r="C58">
        <v>0.34</v>
      </c>
      <c r="D58" s="2" t="str">
        <f t="shared" si="0"/>
        <v>2006/01/31 10:00:00</v>
      </c>
      <c r="F58" s="2" t="str">
        <v>2006/01/31 10:00:00</v>
      </c>
      <c r="G58">
        <f t="shared" si="1"/>
        <v>38748</v>
      </c>
    </row>
    <row r="59" spans="1:7" x14ac:dyDescent="0.25">
      <c r="A59" s="1">
        <v>38776</v>
      </c>
      <c r="B59">
        <v>0.4</v>
      </c>
      <c r="C59">
        <v>0.61</v>
      </c>
      <c r="D59" s="2" t="str">
        <f t="shared" si="0"/>
        <v>2006/02/28 10:00:00</v>
      </c>
      <c r="F59" s="2" t="str">
        <v>2006/02/28 10:00:00</v>
      </c>
      <c r="G59">
        <f t="shared" si="1"/>
        <v>38776</v>
      </c>
    </row>
    <row r="60" spans="1:7" x14ac:dyDescent="0.25">
      <c r="A60" s="1">
        <v>38807</v>
      </c>
      <c r="B60">
        <v>0.62</v>
      </c>
      <c r="C60">
        <v>0.8</v>
      </c>
      <c r="D60" s="2" t="str">
        <f t="shared" si="0"/>
        <v>2006/03/31 09:00:00</v>
      </c>
      <c r="F60" s="2" t="str">
        <v>2006/03/31 09:00:00</v>
      </c>
      <c r="G60">
        <f t="shared" si="1"/>
        <v>38807</v>
      </c>
    </row>
    <row r="61" spans="1:7" x14ac:dyDescent="0.25">
      <c r="A61" s="1">
        <v>38835</v>
      </c>
      <c r="B61">
        <v>0.78</v>
      </c>
      <c r="C61">
        <v>1.1200000000000001</v>
      </c>
      <c r="D61" s="2" t="str">
        <f t="shared" si="0"/>
        <v>2006/04/28 09:00:00</v>
      </c>
      <c r="F61" s="2" t="str">
        <v>2006/04/28 09:00:00</v>
      </c>
      <c r="G61">
        <f t="shared" si="1"/>
        <v>38835</v>
      </c>
    </row>
    <row r="62" spans="1:7" x14ac:dyDescent="0.25">
      <c r="A62" s="1">
        <v>38868</v>
      </c>
      <c r="B62">
        <v>1</v>
      </c>
      <c r="C62">
        <v>1.06</v>
      </c>
      <c r="D62" s="2" t="str">
        <f t="shared" si="0"/>
        <v>2006/05/31 09:00:00</v>
      </c>
      <c r="F62" s="2" t="str">
        <v>2006/05/31 09:00:00</v>
      </c>
      <c r="G62">
        <f t="shared" si="1"/>
        <v>38868</v>
      </c>
    </row>
    <row r="63" spans="1:7" x14ac:dyDescent="0.25">
      <c r="A63" s="1">
        <v>38898</v>
      </c>
      <c r="B63">
        <v>1</v>
      </c>
      <c r="C63">
        <v>1.41</v>
      </c>
      <c r="D63" s="2" t="str">
        <f t="shared" si="0"/>
        <v>2006/06/30 09:00:00</v>
      </c>
      <c r="F63" s="2" t="str">
        <v>2006/06/30 09:00:00</v>
      </c>
      <c r="G63">
        <f t="shared" si="1"/>
        <v>38898</v>
      </c>
    </row>
    <row r="64" spans="1:7" x14ac:dyDescent="0.25">
      <c r="A64" s="1">
        <v>38929</v>
      </c>
      <c r="B64">
        <v>1.3</v>
      </c>
      <c r="C64">
        <v>1.37</v>
      </c>
      <c r="D64" s="2" t="str">
        <f t="shared" si="0"/>
        <v>2006/07/31 09:00:00</v>
      </c>
      <c r="F64" s="2" t="str">
        <v>2006/07/31 09:00:00</v>
      </c>
      <c r="G64">
        <f t="shared" si="1"/>
        <v>38929</v>
      </c>
    </row>
    <row r="65" spans="1:7" x14ac:dyDescent="0.25">
      <c r="A65" s="1">
        <v>38960</v>
      </c>
      <c r="B65">
        <v>1.3</v>
      </c>
      <c r="C65">
        <v>1.28</v>
      </c>
      <c r="D65" s="2" t="str">
        <f t="shared" si="0"/>
        <v>2006/08/31 09:00:00</v>
      </c>
      <c r="F65" s="2" t="str">
        <v>2006/08/31 09:00:00</v>
      </c>
      <c r="G65">
        <f t="shared" si="1"/>
        <v>38960</v>
      </c>
    </row>
    <row r="66" spans="1:7" x14ac:dyDescent="0.25">
      <c r="A66" s="1">
        <v>38989</v>
      </c>
      <c r="B66">
        <v>1.2</v>
      </c>
      <c r="C66">
        <v>1.46</v>
      </c>
      <c r="D66" s="2" t="str">
        <f t="shared" ref="D66:D129" si="2">IFERROR(_xlfn.XLOOKUP(A66,$G:$G,$F:$F,""),"")</f>
        <v>2006/09/29 09:00:00</v>
      </c>
      <c r="F66" s="2" t="str">
        <v>2006/09/29 09:00:00</v>
      </c>
      <c r="G66">
        <f t="shared" ref="G66:G129" si="3">IFERROR(INT(F66),"")</f>
        <v>38989</v>
      </c>
    </row>
    <row r="67" spans="1:7" x14ac:dyDescent="0.25">
      <c r="A67" s="1">
        <v>39021</v>
      </c>
      <c r="B67">
        <v>1.43</v>
      </c>
      <c r="C67">
        <v>1.42</v>
      </c>
      <c r="D67" s="2" t="str">
        <f t="shared" si="2"/>
        <v>2006/10/31 10:00:00</v>
      </c>
      <c r="F67" s="2" t="str">
        <v>2006/10/31 10:00:00</v>
      </c>
      <c r="G67">
        <f t="shared" si="3"/>
        <v>39021</v>
      </c>
    </row>
    <row r="68" spans="1:7" x14ac:dyDescent="0.25">
      <c r="A68" s="1">
        <v>39051</v>
      </c>
      <c r="B68">
        <v>1.4</v>
      </c>
      <c r="C68">
        <v>1.54</v>
      </c>
      <c r="D68" s="2" t="str">
        <f t="shared" si="2"/>
        <v>2006/11/30 10:00:00</v>
      </c>
      <c r="F68" s="2" t="str">
        <v>2006/11/30 10:00:00</v>
      </c>
      <c r="G68">
        <f t="shared" si="3"/>
        <v>39051</v>
      </c>
    </row>
    <row r="69" spans="1:7" x14ac:dyDescent="0.25">
      <c r="A69" s="1">
        <v>39087</v>
      </c>
      <c r="B69" t="str">
        <v>#N/A N/A</v>
      </c>
      <c r="C69">
        <v>1.6</v>
      </c>
      <c r="D69" s="2" t="str">
        <f t="shared" si="2"/>
        <v>2007/01/05 10:00:00</v>
      </c>
      <c r="F69" s="2" t="str">
        <v>2007/01/05 10:00:00</v>
      </c>
      <c r="G69">
        <f t="shared" si="3"/>
        <v>39087</v>
      </c>
    </row>
    <row r="70" spans="1:7" x14ac:dyDescent="0.25">
      <c r="A70" s="1">
        <v>39113</v>
      </c>
      <c r="B70">
        <v>1.5</v>
      </c>
      <c r="C70">
        <v>1.4</v>
      </c>
      <c r="D70" s="2" t="str">
        <f t="shared" si="2"/>
        <v>2007/01/31 10:00:00</v>
      </c>
      <c r="F70" s="2" t="str">
        <v>2007/01/31 10:00:00</v>
      </c>
      <c r="G70">
        <f t="shared" si="3"/>
        <v>39113</v>
      </c>
    </row>
    <row r="71" spans="1:7" x14ac:dyDescent="0.25">
      <c r="A71" s="1">
        <v>39141</v>
      </c>
      <c r="B71">
        <v>1.41</v>
      </c>
      <c r="C71">
        <v>1.56</v>
      </c>
      <c r="D71" s="2" t="str">
        <f t="shared" si="2"/>
        <v>2007/02/28 10:00:00</v>
      </c>
      <c r="F71" s="2" t="str">
        <v>2007/02/28 10:00:00</v>
      </c>
      <c r="G71">
        <f t="shared" si="3"/>
        <v>39141</v>
      </c>
    </row>
    <row r="72" spans="1:7" x14ac:dyDescent="0.25">
      <c r="A72" s="1">
        <v>39171</v>
      </c>
      <c r="B72">
        <v>1.47</v>
      </c>
      <c r="C72">
        <v>1.55</v>
      </c>
      <c r="D72" s="2" t="str">
        <f t="shared" si="2"/>
        <v>2007/03/30 09:00:00</v>
      </c>
      <c r="F72" s="2" t="str">
        <v>2007/03/30 09:00:00</v>
      </c>
      <c r="G72">
        <f t="shared" si="3"/>
        <v>39171</v>
      </c>
    </row>
    <row r="73" spans="1:7" x14ac:dyDescent="0.25">
      <c r="A73" s="1">
        <v>39202</v>
      </c>
      <c r="B73">
        <v>1.6</v>
      </c>
      <c r="C73">
        <v>1.61</v>
      </c>
      <c r="D73" s="2" t="str">
        <f t="shared" si="2"/>
        <v>2007/04/30 09:00:00</v>
      </c>
      <c r="F73" s="2" t="str">
        <v>2007/04/30 09:00:00</v>
      </c>
      <c r="G73">
        <f t="shared" si="3"/>
        <v>39202</v>
      </c>
    </row>
    <row r="74" spans="1:7" x14ac:dyDescent="0.25">
      <c r="A74" s="1">
        <v>39233</v>
      </c>
      <c r="B74">
        <v>1.6</v>
      </c>
      <c r="C74">
        <v>1.53</v>
      </c>
      <c r="D74" s="2" t="str">
        <f t="shared" si="2"/>
        <v>2007/05/31 09:00:00</v>
      </c>
      <c r="F74" s="2" t="str">
        <v>2007/05/31 09:00:00</v>
      </c>
      <c r="G74">
        <f t="shared" si="3"/>
        <v>39233</v>
      </c>
    </row>
    <row r="75" spans="1:7" x14ac:dyDescent="0.25">
      <c r="A75" s="1">
        <v>39262</v>
      </c>
      <c r="B75">
        <v>1.5</v>
      </c>
      <c r="C75">
        <v>1.54</v>
      </c>
      <c r="D75" s="2" t="str">
        <f t="shared" si="2"/>
        <v>2007/06/29 09:00:00</v>
      </c>
      <c r="F75" s="2" t="str">
        <v>2007/06/29 09:00:00</v>
      </c>
      <c r="G75">
        <f t="shared" si="3"/>
        <v>39262</v>
      </c>
    </row>
    <row r="76" spans="1:7" x14ac:dyDescent="0.25">
      <c r="A76" s="1">
        <v>39294</v>
      </c>
      <c r="B76">
        <v>1.46</v>
      </c>
      <c r="C76">
        <v>1.35</v>
      </c>
      <c r="D76" s="2" t="str">
        <f t="shared" si="2"/>
        <v>2007/07/31 09:00:00</v>
      </c>
      <c r="F76" s="2" t="str">
        <v>2007/07/31 09:00:00</v>
      </c>
      <c r="G76">
        <f t="shared" si="3"/>
        <v>39294</v>
      </c>
    </row>
    <row r="77" spans="1:7" x14ac:dyDescent="0.25">
      <c r="A77" s="1">
        <v>39325</v>
      </c>
      <c r="B77">
        <v>1.3</v>
      </c>
      <c r="C77">
        <v>1.41</v>
      </c>
      <c r="D77" s="2" t="str">
        <f t="shared" si="2"/>
        <v>2007/08/31 09:00:00</v>
      </c>
      <c r="F77" s="2" t="str">
        <v>2007/08/31 09:00:00</v>
      </c>
      <c r="G77">
        <f t="shared" si="3"/>
        <v>39325</v>
      </c>
    </row>
    <row r="78" spans="1:7" x14ac:dyDescent="0.25">
      <c r="A78" s="1">
        <v>39353</v>
      </c>
      <c r="B78">
        <v>1.3</v>
      </c>
      <c r="C78">
        <v>1.0900000000000001</v>
      </c>
      <c r="D78" s="2" t="str">
        <f t="shared" si="2"/>
        <v>2007/09/28 09:00:00</v>
      </c>
      <c r="F78" s="2" t="str">
        <v>2007/09/28 09:00:00</v>
      </c>
      <c r="G78">
        <f t="shared" si="3"/>
        <v>39353</v>
      </c>
    </row>
    <row r="79" spans="1:7" x14ac:dyDescent="0.25">
      <c r="A79" s="1">
        <v>39386</v>
      </c>
      <c r="B79">
        <v>1.02</v>
      </c>
      <c r="C79">
        <v>0.87</v>
      </c>
      <c r="D79" s="2" t="str">
        <f t="shared" si="2"/>
        <v>2007/10/31 10:00:00</v>
      </c>
      <c r="F79" s="2" t="str">
        <v>2007/10/31 10:00:00</v>
      </c>
      <c r="G79">
        <f t="shared" si="3"/>
        <v>39386</v>
      </c>
    </row>
    <row r="80" spans="1:7" x14ac:dyDescent="0.25">
      <c r="A80" s="1">
        <v>39416</v>
      </c>
      <c r="B80">
        <v>0.79</v>
      </c>
      <c r="C80">
        <v>1.04</v>
      </c>
      <c r="D80" s="2" t="str">
        <f t="shared" si="2"/>
        <v>2007/11/30 10:00:00</v>
      </c>
      <c r="F80" s="2" t="str">
        <v>2007/11/30 10:00:00</v>
      </c>
      <c r="G80">
        <f t="shared" si="3"/>
        <v>39416</v>
      </c>
    </row>
    <row r="81" spans="1:7" x14ac:dyDescent="0.25">
      <c r="A81" s="1">
        <v>39454</v>
      </c>
      <c r="B81">
        <v>0.9</v>
      </c>
      <c r="C81">
        <v>0.92</v>
      </c>
      <c r="D81" s="2" t="str">
        <f t="shared" si="2"/>
        <v>2008/01/07 10:00:00</v>
      </c>
      <c r="F81" s="2" t="str">
        <v>2008/01/07 10:00:00</v>
      </c>
      <c r="G81">
        <f t="shared" si="3"/>
        <v>39454</v>
      </c>
    </row>
    <row r="82" spans="1:7" x14ac:dyDescent="0.25">
      <c r="A82" s="1">
        <v>39478</v>
      </c>
      <c r="B82">
        <v>0.86</v>
      </c>
      <c r="C82">
        <v>0.78</v>
      </c>
      <c r="D82" s="2" t="str">
        <f t="shared" si="2"/>
        <v>2008/01/31 10:00:00</v>
      </c>
      <c r="F82" s="2" t="str">
        <v>2008/01/31 10:00:00</v>
      </c>
      <c r="G82">
        <f t="shared" si="3"/>
        <v>39478</v>
      </c>
    </row>
    <row r="83" spans="1:7" x14ac:dyDescent="0.25">
      <c r="A83" s="1">
        <v>39507</v>
      </c>
      <c r="B83">
        <v>0.75</v>
      </c>
      <c r="C83">
        <v>0.72</v>
      </c>
      <c r="D83" s="2" t="str">
        <f t="shared" si="2"/>
        <v>2008/02/29 10:00:00</v>
      </c>
      <c r="F83" s="2" t="str">
        <v>2008/02/29 10:00:00</v>
      </c>
      <c r="G83">
        <f t="shared" si="3"/>
        <v>39507</v>
      </c>
    </row>
    <row r="84" spans="1:7" x14ac:dyDescent="0.25">
      <c r="A84" s="1">
        <v>39538</v>
      </c>
      <c r="B84">
        <v>0.72</v>
      </c>
      <c r="C84">
        <v>0.8</v>
      </c>
      <c r="D84" s="2" t="str">
        <f t="shared" si="2"/>
        <v>2008/03/31 09:00:00</v>
      </c>
      <c r="F84" s="2" t="str">
        <v>2008/03/31 09:00:00</v>
      </c>
      <c r="G84">
        <f t="shared" si="3"/>
        <v>39538</v>
      </c>
    </row>
    <row r="85" spans="1:7" x14ac:dyDescent="0.25">
      <c r="A85" s="1">
        <v>39568</v>
      </c>
      <c r="B85">
        <v>0.69</v>
      </c>
      <c r="C85">
        <v>0.44</v>
      </c>
      <c r="D85" s="2" t="str">
        <f t="shared" si="2"/>
        <v>2008/04/30 09:00:00</v>
      </c>
      <c r="F85" s="2" t="str">
        <v>2008/04/30 09:00:00</v>
      </c>
      <c r="G85">
        <f t="shared" si="3"/>
        <v>39568</v>
      </c>
    </row>
    <row r="86" spans="1:7" x14ac:dyDescent="0.25">
      <c r="A86" s="1">
        <v>39597</v>
      </c>
      <c r="B86">
        <v>0.41</v>
      </c>
      <c r="C86">
        <v>0.54</v>
      </c>
      <c r="D86" s="2" t="str">
        <f t="shared" si="2"/>
        <v>2008/05/29 09:00:00</v>
      </c>
      <c r="F86" s="2" t="str">
        <v>2008/05/29 09:00:00</v>
      </c>
      <c r="G86">
        <f t="shared" si="3"/>
        <v>39597</v>
      </c>
    </row>
    <row r="87" spans="1:7" x14ac:dyDescent="0.25">
      <c r="A87" s="1">
        <v>39626</v>
      </c>
      <c r="B87">
        <v>0.4</v>
      </c>
      <c r="C87">
        <v>0.14000000000000001</v>
      </c>
      <c r="D87" s="2" t="str">
        <f t="shared" si="2"/>
        <v>2008/06/27 09:00:00</v>
      </c>
      <c r="F87" s="2" t="str">
        <v>2008/06/27 09:00:00</v>
      </c>
      <c r="G87">
        <f t="shared" si="3"/>
        <v>39626</v>
      </c>
    </row>
    <row r="88" spans="1:7" x14ac:dyDescent="0.25">
      <c r="A88" s="1">
        <v>39659</v>
      </c>
      <c r="B88">
        <v>-0.02</v>
      </c>
      <c r="C88">
        <v>-0.21</v>
      </c>
      <c r="D88" s="2" t="str">
        <f t="shared" si="2"/>
        <v>2008/07/30 09:00:00</v>
      </c>
      <c r="F88" s="2" t="str">
        <v>2008/07/30 09:00:00</v>
      </c>
      <c r="G88">
        <f t="shared" si="3"/>
        <v>39659</v>
      </c>
    </row>
    <row r="89" spans="1:7" x14ac:dyDescent="0.25">
      <c r="A89" s="1">
        <v>39689</v>
      </c>
      <c r="B89">
        <v>-0.3</v>
      </c>
      <c r="C89">
        <v>-0.33</v>
      </c>
      <c r="D89" s="2" t="str">
        <f t="shared" si="2"/>
        <v>2008/08/29 09:00:00</v>
      </c>
      <c r="F89" s="2" t="str">
        <v>2008/08/29 09:00:00</v>
      </c>
      <c r="G89">
        <f t="shared" si="3"/>
        <v>39689</v>
      </c>
    </row>
    <row r="90" spans="1:7" x14ac:dyDescent="0.25">
      <c r="A90" s="1">
        <v>39720</v>
      </c>
      <c r="B90">
        <v>-0.5</v>
      </c>
      <c r="C90">
        <v>-0.79</v>
      </c>
      <c r="D90" s="2" t="str">
        <f t="shared" si="2"/>
        <v>2008/09/29 09:00:00</v>
      </c>
      <c r="F90" s="2" t="str">
        <v>2008/09/29 09:00:00</v>
      </c>
      <c r="G90">
        <f t="shared" si="3"/>
        <v>39720</v>
      </c>
    </row>
    <row r="91" spans="1:7" x14ac:dyDescent="0.25">
      <c r="A91" s="1">
        <v>39751</v>
      </c>
      <c r="B91">
        <v>-0.91</v>
      </c>
      <c r="C91">
        <v>-1.34</v>
      </c>
      <c r="D91" s="2" t="str">
        <f t="shared" si="2"/>
        <v>2008/10/30 10:00:00</v>
      </c>
      <c r="F91" s="2" t="str">
        <v>2008/10/30 10:00:00</v>
      </c>
      <c r="G91">
        <f t="shared" si="3"/>
        <v>39751</v>
      </c>
    </row>
    <row r="92" spans="1:7" x14ac:dyDescent="0.25">
      <c r="A92" s="1">
        <v>39779</v>
      </c>
      <c r="B92">
        <v>-1.58</v>
      </c>
      <c r="C92">
        <v>-2.14</v>
      </c>
      <c r="D92" s="2" t="str">
        <f t="shared" si="2"/>
        <v>2008/11/27 10:00:00</v>
      </c>
      <c r="F92" s="2" t="str">
        <v>2008/11/27 10:00:00</v>
      </c>
      <c r="G92">
        <f t="shared" si="3"/>
        <v>39779</v>
      </c>
    </row>
    <row r="93" spans="1:7" x14ac:dyDescent="0.25">
      <c r="A93" s="1">
        <v>39821</v>
      </c>
      <c r="B93">
        <v>-2.7</v>
      </c>
      <c r="C93">
        <v>-3.17</v>
      </c>
      <c r="D93" s="2" t="str">
        <f t="shared" si="2"/>
        <v>2009/01/08 10:00:00</v>
      </c>
      <c r="F93" s="2" t="str">
        <v>2009/01/08 10:00:00</v>
      </c>
      <c r="G93">
        <f t="shared" si="3"/>
        <v>39821</v>
      </c>
    </row>
    <row r="94" spans="1:7" x14ac:dyDescent="0.25">
      <c r="A94" s="1">
        <v>39842</v>
      </c>
      <c r="B94">
        <v>-3.5</v>
      </c>
      <c r="C94">
        <v>-3.16</v>
      </c>
      <c r="D94" s="2" t="str">
        <f t="shared" si="2"/>
        <v>2009/01/29 10:00:00</v>
      </c>
      <c r="F94" s="2" t="str">
        <v>2009/01/29 10:00:00</v>
      </c>
      <c r="G94">
        <f t="shared" si="3"/>
        <v>39842</v>
      </c>
    </row>
    <row r="95" spans="1:7" x14ac:dyDescent="0.25">
      <c r="A95" s="1">
        <v>39870</v>
      </c>
      <c r="B95">
        <v>-3.2</v>
      </c>
      <c r="C95">
        <v>-3.51</v>
      </c>
      <c r="D95" s="2" t="str">
        <f t="shared" si="2"/>
        <v>2009/02/26 10:00:00</v>
      </c>
      <c r="F95" s="2" t="str">
        <v>2009/02/26 10:00:00</v>
      </c>
      <c r="G95">
        <f t="shared" si="3"/>
        <v>39870</v>
      </c>
    </row>
    <row r="96" spans="1:7" x14ac:dyDescent="0.25">
      <c r="A96" s="1">
        <v>39902</v>
      </c>
      <c r="B96">
        <v>-3.48</v>
      </c>
      <c r="C96">
        <v>-3.58</v>
      </c>
      <c r="D96" s="2" t="str">
        <f t="shared" si="2"/>
        <v>2009/03/30 09:00:00</v>
      </c>
      <c r="F96" s="2" t="str">
        <v>2009/03/30 09:00:00</v>
      </c>
      <c r="G96">
        <f t="shared" si="3"/>
        <v>39902</v>
      </c>
    </row>
    <row r="97" spans="1:7" x14ac:dyDescent="0.25">
      <c r="A97" s="1">
        <v>39932</v>
      </c>
      <c r="B97">
        <v>-3.53</v>
      </c>
      <c r="C97">
        <v>-3.33</v>
      </c>
      <c r="D97" s="2" t="str">
        <f t="shared" si="2"/>
        <v>2009/04/29 09:00:00</v>
      </c>
      <c r="F97" s="2" t="str">
        <v>2009/04/29 09:00:00</v>
      </c>
      <c r="G97">
        <f t="shared" si="3"/>
        <v>39932</v>
      </c>
    </row>
    <row r="98" spans="1:7" x14ac:dyDescent="0.25">
      <c r="A98" s="1">
        <v>39961</v>
      </c>
      <c r="B98">
        <v>-3.1</v>
      </c>
      <c r="C98">
        <v>-3.17</v>
      </c>
      <c r="D98" s="2" t="str">
        <f t="shared" si="2"/>
        <v>2009/05/28 09:00:00</v>
      </c>
      <c r="F98" s="2" t="str">
        <v>2009/05/28 09:00:00</v>
      </c>
      <c r="G98">
        <f t="shared" si="3"/>
        <v>39961</v>
      </c>
    </row>
    <row r="99" spans="1:7" x14ac:dyDescent="0.25">
      <c r="A99" s="1">
        <v>39993</v>
      </c>
      <c r="B99">
        <v>-3</v>
      </c>
      <c r="C99">
        <v>-2.97</v>
      </c>
      <c r="D99" s="2" t="str">
        <f t="shared" si="2"/>
        <v>2009/06/29 09:00:00</v>
      </c>
      <c r="F99" s="2" t="str">
        <v>2009/06/29 09:00:00</v>
      </c>
      <c r="G99">
        <f t="shared" si="3"/>
        <v>39993</v>
      </c>
    </row>
    <row r="100" spans="1:7" x14ac:dyDescent="0.25">
      <c r="A100" s="1">
        <v>40024</v>
      </c>
      <c r="B100">
        <v>-2.83</v>
      </c>
      <c r="C100">
        <v>-2.71</v>
      </c>
      <c r="D100" s="2" t="str">
        <f t="shared" si="2"/>
        <v>2009/07/30 09:00:00</v>
      </c>
      <c r="F100" s="2" t="str">
        <v>2009/07/30 09:00:00</v>
      </c>
      <c r="G100">
        <f t="shared" si="3"/>
        <v>40024</v>
      </c>
    </row>
    <row r="101" spans="1:7" x14ac:dyDescent="0.25">
      <c r="A101" s="1">
        <v>40053</v>
      </c>
      <c r="B101">
        <v>-2.5</v>
      </c>
      <c r="C101">
        <v>-2.21</v>
      </c>
      <c r="D101" s="2" t="str">
        <f t="shared" si="2"/>
        <v>2009/08/28 09:00:00</v>
      </c>
      <c r="F101" s="2" t="str">
        <v>2009/08/28 09:00:00</v>
      </c>
      <c r="G101">
        <f t="shared" si="3"/>
        <v>40053</v>
      </c>
    </row>
    <row r="102" spans="1:7" x14ac:dyDescent="0.25">
      <c r="A102" s="1">
        <v>40085</v>
      </c>
      <c r="B102">
        <v>-1.92</v>
      </c>
      <c r="C102">
        <v>-2.0699999999999998</v>
      </c>
      <c r="D102" s="2" t="str">
        <f t="shared" si="2"/>
        <v>2009/09/29 09:00:00</v>
      </c>
      <c r="F102" s="2" t="str">
        <v>2009/09/29 09:00:00</v>
      </c>
      <c r="G102">
        <f t="shared" si="3"/>
        <v>40085</v>
      </c>
    </row>
    <row r="103" spans="1:7" x14ac:dyDescent="0.25">
      <c r="A103" s="1">
        <v>40115</v>
      </c>
      <c r="B103">
        <v>-1.9</v>
      </c>
      <c r="C103">
        <v>-1.78</v>
      </c>
      <c r="D103" s="2" t="str">
        <f t="shared" si="2"/>
        <v>2009/10/29 10:00:00</v>
      </c>
      <c r="F103" s="2" t="str">
        <v>2009/10/29 10:00:00</v>
      </c>
      <c r="G103">
        <f t="shared" si="3"/>
        <v>40115</v>
      </c>
    </row>
    <row r="104" spans="1:7" x14ac:dyDescent="0.25">
      <c r="A104" s="1">
        <v>40144</v>
      </c>
      <c r="B104">
        <v>-1.65</v>
      </c>
      <c r="C104">
        <v>-1.56</v>
      </c>
      <c r="D104" s="2" t="str">
        <f t="shared" si="2"/>
        <v>2009/11/27 10:00:00</v>
      </c>
      <c r="F104" s="2" t="str">
        <v>2009/11/27 10:00:00</v>
      </c>
      <c r="G104">
        <f t="shared" si="3"/>
        <v>40144</v>
      </c>
    </row>
    <row r="105" spans="1:7" x14ac:dyDescent="0.25">
      <c r="A105" s="1">
        <v>40185</v>
      </c>
      <c r="B105">
        <v>-1.43</v>
      </c>
      <c r="C105">
        <v>-1.22</v>
      </c>
      <c r="D105" s="2" t="str">
        <f t="shared" si="2"/>
        <v>2010/01/07 10:00:00</v>
      </c>
      <c r="F105" s="2" t="str">
        <v>2010/01/07 10:00:00</v>
      </c>
      <c r="G105">
        <f t="shared" si="3"/>
        <v>40185</v>
      </c>
    </row>
    <row r="106" spans="1:7" x14ac:dyDescent="0.25">
      <c r="A106" s="1">
        <v>40206</v>
      </c>
      <c r="B106">
        <v>-1.1000000000000001</v>
      </c>
      <c r="C106">
        <v>-1.1200000000000001</v>
      </c>
      <c r="D106" s="2" t="str">
        <f t="shared" si="2"/>
        <v>2010/01/28 10:00:00</v>
      </c>
      <c r="F106" s="2" t="str">
        <v>2010/01/28 10:00:00</v>
      </c>
      <c r="G106">
        <f t="shared" si="3"/>
        <v>40206</v>
      </c>
    </row>
    <row r="107" spans="1:7" x14ac:dyDescent="0.25">
      <c r="A107" s="1">
        <v>40234</v>
      </c>
      <c r="B107">
        <v>-1.05</v>
      </c>
      <c r="C107">
        <v>-0.98</v>
      </c>
      <c r="D107" s="2" t="str">
        <f t="shared" si="2"/>
        <v>2010/02/25 10:00:00</v>
      </c>
      <c r="F107" s="2" t="str">
        <v>2010/02/25 10:00:00</v>
      </c>
      <c r="G107">
        <f t="shared" si="3"/>
        <v>40234</v>
      </c>
    </row>
    <row r="108" spans="1:7" x14ac:dyDescent="0.25">
      <c r="A108" s="1">
        <v>40266</v>
      </c>
      <c r="B108">
        <v>-0.82</v>
      </c>
      <c r="C108">
        <v>-0.32</v>
      </c>
      <c r="D108" s="2" t="str">
        <f t="shared" si="2"/>
        <v>2010/03/29 09:00:00</v>
      </c>
      <c r="F108" s="2" t="str">
        <v>2010/03/29 09:00:00</v>
      </c>
      <c r="G108">
        <f t="shared" si="3"/>
        <v>40266</v>
      </c>
    </row>
    <row r="109" spans="1:7" x14ac:dyDescent="0.25">
      <c r="A109" s="1">
        <v>40297</v>
      </c>
      <c r="B109">
        <v>-0.12</v>
      </c>
      <c r="C109">
        <v>0.23</v>
      </c>
      <c r="D109" s="2" t="str">
        <f t="shared" si="2"/>
        <v>2010/04/29 09:00:00</v>
      </c>
      <c r="F109" s="2" t="str">
        <v>2010/04/29 09:00:00</v>
      </c>
      <c r="G109">
        <f t="shared" si="3"/>
        <v>40297</v>
      </c>
    </row>
    <row r="110" spans="1:7" x14ac:dyDescent="0.25">
      <c r="A110" s="1">
        <v>40329</v>
      </c>
      <c r="B110">
        <v>0.2</v>
      </c>
      <c r="C110">
        <v>0.34</v>
      </c>
      <c r="D110" s="2" t="str">
        <f t="shared" si="2"/>
        <v>2010/05/31 09:00:00</v>
      </c>
      <c r="F110" s="2" t="str">
        <v>2010/05/31 09:00:00</v>
      </c>
      <c r="G110">
        <f t="shared" si="3"/>
        <v>40329</v>
      </c>
    </row>
    <row r="111" spans="1:7" x14ac:dyDescent="0.25">
      <c r="A111" s="1">
        <v>40358</v>
      </c>
      <c r="B111">
        <v>0.32</v>
      </c>
      <c r="C111">
        <v>0.37</v>
      </c>
      <c r="D111" s="2" t="str">
        <f t="shared" si="2"/>
        <v>2010/06/29 09:00:00</v>
      </c>
      <c r="F111" s="2" t="str">
        <v>2010/06/29 09:00:00</v>
      </c>
      <c r="G111">
        <f t="shared" si="3"/>
        <v>40358</v>
      </c>
    </row>
    <row r="112" spans="1:7" x14ac:dyDescent="0.25">
      <c r="A112" s="1">
        <v>40388</v>
      </c>
      <c r="B112">
        <v>0.39</v>
      </c>
      <c r="C112">
        <v>0.66</v>
      </c>
      <c r="D112" s="2" t="str">
        <f t="shared" si="2"/>
        <v>2010/07/29 09:00:00</v>
      </c>
      <c r="F112" s="2" t="str">
        <v>2010/07/29 09:00:00</v>
      </c>
      <c r="G112">
        <f t="shared" si="3"/>
        <v>40388</v>
      </c>
    </row>
    <row r="113" spans="1:7" x14ac:dyDescent="0.25">
      <c r="A113" s="1">
        <v>40420</v>
      </c>
      <c r="B113">
        <v>0.7</v>
      </c>
      <c r="C113">
        <v>0.61</v>
      </c>
      <c r="D113" s="2" t="str">
        <f t="shared" si="2"/>
        <v>2010/08/30 09:00:00</v>
      </c>
      <c r="F113" s="2" t="str">
        <v>2010/08/30 09:00:00</v>
      </c>
      <c r="G113">
        <f t="shared" si="3"/>
        <v>40420</v>
      </c>
    </row>
    <row r="114" spans="1:7" x14ac:dyDescent="0.25">
      <c r="A114" s="1">
        <v>40450</v>
      </c>
      <c r="B114">
        <v>0.57999999999999996</v>
      </c>
      <c r="C114">
        <v>0.77</v>
      </c>
      <c r="D114" s="2" t="str">
        <f t="shared" si="2"/>
        <v>2010/09/29 09:00:00</v>
      </c>
      <c r="F114" s="2" t="str">
        <v>2010/09/29 09:00:00</v>
      </c>
      <c r="G114">
        <f t="shared" si="3"/>
        <v>40450</v>
      </c>
    </row>
    <row r="115" spans="1:7" x14ac:dyDescent="0.25">
      <c r="A115" s="1">
        <v>40479</v>
      </c>
      <c r="B115">
        <v>0.79</v>
      </c>
      <c r="C115">
        <v>0.98</v>
      </c>
      <c r="D115" s="2" t="str">
        <f t="shared" si="2"/>
        <v>2010/10/28 09:00:00</v>
      </c>
      <c r="F115" s="2" t="str">
        <v>2010/10/28 09:00:00</v>
      </c>
      <c r="G115">
        <f t="shared" si="3"/>
        <v>40479</v>
      </c>
    </row>
    <row r="116" spans="1:7" x14ac:dyDescent="0.25">
      <c r="A116" s="1">
        <v>40511</v>
      </c>
      <c r="B116">
        <v>1.05</v>
      </c>
      <c r="C116">
        <v>0.96</v>
      </c>
      <c r="D116" s="2" t="str">
        <f t="shared" si="2"/>
        <v>2010/11/29 10:00:00</v>
      </c>
      <c r="F116" s="2" t="str">
        <v>2010/11/29 10:00:00</v>
      </c>
      <c r="G116">
        <f t="shared" si="3"/>
        <v>40511</v>
      </c>
    </row>
    <row r="117" spans="1:7" x14ac:dyDescent="0.25">
      <c r="A117" s="1">
        <v>40549</v>
      </c>
      <c r="B117">
        <v>1</v>
      </c>
      <c r="C117">
        <v>1.31</v>
      </c>
      <c r="D117" s="2" t="str">
        <f t="shared" si="2"/>
        <v>2011/01/06 10:00:00</v>
      </c>
      <c r="F117" s="2" t="str">
        <v>2011/01/06 10:00:00</v>
      </c>
      <c r="G117">
        <f t="shared" si="3"/>
        <v>40549</v>
      </c>
    </row>
    <row r="118" spans="1:7" x14ac:dyDescent="0.25">
      <c r="A118" s="1">
        <v>40570</v>
      </c>
      <c r="B118">
        <v>1.34</v>
      </c>
      <c r="C118">
        <v>1.58</v>
      </c>
      <c r="D118" s="2" t="str">
        <f t="shared" si="2"/>
        <v>2011/01/27 10:00:00</v>
      </c>
      <c r="F118" s="2" t="str">
        <v>2011/01/27 10:00:00</v>
      </c>
      <c r="G118">
        <f t="shared" si="3"/>
        <v>40570</v>
      </c>
    </row>
    <row r="119" spans="1:7" x14ac:dyDescent="0.25">
      <c r="A119" s="1">
        <v>40598</v>
      </c>
      <c r="B119">
        <v>1.61</v>
      </c>
      <c r="C119">
        <v>1.45</v>
      </c>
      <c r="D119" s="2" t="str">
        <f t="shared" si="2"/>
        <v>2011/02/24 10:00:00</v>
      </c>
      <c r="F119" s="2" t="str">
        <v>2011/02/24 10:00:00</v>
      </c>
      <c r="G119">
        <f t="shared" si="3"/>
        <v>40598</v>
      </c>
    </row>
    <row r="120" spans="1:7" x14ac:dyDescent="0.25">
      <c r="A120" s="1">
        <v>40632</v>
      </c>
      <c r="B120">
        <v>1.42</v>
      </c>
      <c r="C120">
        <v>1.41</v>
      </c>
      <c r="D120" s="2" t="str">
        <f t="shared" si="2"/>
        <v>2011/03/30 09:00:00</v>
      </c>
      <c r="F120" s="2" t="str">
        <v>2011/03/30 09:00:00</v>
      </c>
      <c r="G120">
        <f t="shared" si="3"/>
        <v>40632</v>
      </c>
    </row>
    <row r="121" spans="1:7" x14ac:dyDescent="0.25">
      <c r="A121" s="1">
        <v>40662</v>
      </c>
      <c r="B121">
        <v>1.4</v>
      </c>
      <c r="C121">
        <v>1.28</v>
      </c>
      <c r="D121" s="2" t="str">
        <f t="shared" si="2"/>
        <v>2011/04/29 09:00:00</v>
      </c>
      <c r="F121" s="2" t="str">
        <v>2011/04/29 09:00:00</v>
      </c>
      <c r="G121">
        <f t="shared" si="3"/>
        <v>40662</v>
      </c>
    </row>
    <row r="122" spans="1:7" x14ac:dyDescent="0.25">
      <c r="A122" s="1">
        <v>40690</v>
      </c>
      <c r="B122">
        <v>1.2</v>
      </c>
      <c r="C122">
        <v>0.99</v>
      </c>
      <c r="D122" s="2" t="str">
        <f t="shared" si="2"/>
        <v>2011/05/27 09:00:00</v>
      </c>
      <c r="F122" s="2" t="str">
        <v>2011/05/27 09:00:00</v>
      </c>
      <c r="G122">
        <f t="shared" si="3"/>
        <v>40690</v>
      </c>
    </row>
    <row r="123" spans="1:7" x14ac:dyDescent="0.25">
      <c r="A123" s="1">
        <v>40723</v>
      </c>
      <c r="B123">
        <v>0.9</v>
      </c>
      <c r="C123">
        <v>0.92</v>
      </c>
      <c r="D123" s="2" t="str">
        <f t="shared" si="2"/>
        <v>2011/06/29 09:00:00</v>
      </c>
      <c r="F123" s="2" t="str">
        <v>2011/06/29 09:00:00</v>
      </c>
      <c r="G123">
        <f t="shared" si="3"/>
        <v>40723</v>
      </c>
    </row>
    <row r="124" spans="1:7" x14ac:dyDescent="0.25">
      <c r="A124" s="1">
        <v>40752</v>
      </c>
      <c r="B124">
        <v>0.83</v>
      </c>
      <c r="C124">
        <v>0.45</v>
      </c>
      <c r="D124" s="2" t="str">
        <f t="shared" si="2"/>
        <v>2011/07/28 09:00:00</v>
      </c>
      <c r="F124" s="2" t="str">
        <v>2011/07/28 09:00:00</v>
      </c>
      <c r="G124">
        <f t="shared" si="3"/>
        <v>40752</v>
      </c>
    </row>
    <row r="125" spans="1:7" x14ac:dyDescent="0.25">
      <c r="A125" s="1">
        <v>40785</v>
      </c>
      <c r="B125">
        <v>0.1</v>
      </c>
      <c r="C125">
        <v>7.0000000000000007E-2</v>
      </c>
      <c r="D125" s="2" t="str">
        <f t="shared" si="2"/>
        <v>2011/08/30 09:00:00</v>
      </c>
      <c r="F125" s="2" t="str">
        <v>2011/08/30 09:00:00</v>
      </c>
      <c r="G125">
        <f t="shared" si="3"/>
        <v>40785</v>
      </c>
    </row>
    <row r="126" spans="1:7" x14ac:dyDescent="0.25">
      <c r="A126" s="1">
        <v>40815</v>
      </c>
      <c r="B126">
        <v>-0.12</v>
      </c>
      <c r="C126">
        <v>-0.06</v>
      </c>
      <c r="D126" s="2" t="str">
        <f t="shared" si="2"/>
        <v>2011/09/29 09:00:00</v>
      </c>
      <c r="F126" s="2" t="str">
        <v>2011/09/29 09:00:00</v>
      </c>
      <c r="G126">
        <f t="shared" si="3"/>
        <v>40815</v>
      </c>
    </row>
    <row r="127" spans="1:7" x14ac:dyDescent="0.25">
      <c r="A127" s="1">
        <v>40843</v>
      </c>
      <c r="B127">
        <v>-0.2</v>
      </c>
      <c r="C127">
        <v>-0.18</v>
      </c>
      <c r="D127" s="2" t="str">
        <f t="shared" si="2"/>
        <v>2011/10/27 09:00:00</v>
      </c>
      <c r="F127" s="2" t="str">
        <v>2011/10/27 09:00:00</v>
      </c>
      <c r="G127">
        <f t="shared" si="3"/>
        <v>40843</v>
      </c>
    </row>
    <row r="128" spans="1:7" x14ac:dyDescent="0.25">
      <c r="A128" s="1">
        <v>40876</v>
      </c>
      <c r="B128">
        <v>-0.3</v>
      </c>
      <c r="C128">
        <v>-0.44</v>
      </c>
      <c r="D128" s="2" t="str">
        <f t="shared" si="2"/>
        <v>2011/11/29 10:00:00</v>
      </c>
      <c r="F128" s="2" t="str">
        <v>2011/11/29 10:00:00</v>
      </c>
      <c r="G128">
        <f t="shared" si="3"/>
        <v>40876</v>
      </c>
    </row>
    <row r="129" spans="1:7" x14ac:dyDescent="0.25">
      <c r="A129" s="1">
        <v>40914</v>
      </c>
      <c r="B129">
        <v>-0.48</v>
      </c>
      <c r="C129">
        <v>-0.31</v>
      </c>
      <c r="D129" s="2" t="str">
        <f t="shared" si="2"/>
        <v>2012/01/06 10:00:00</v>
      </c>
      <c r="F129" s="2" t="str">
        <v>2012/01/06 10:00:00</v>
      </c>
      <c r="G129">
        <f t="shared" si="3"/>
        <v>40914</v>
      </c>
    </row>
    <row r="130" spans="1:7" x14ac:dyDescent="0.25">
      <c r="A130" s="1">
        <v>40938</v>
      </c>
      <c r="B130">
        <v>-0.25</v>
      </c>
      <c r="C130">
        <v>-0.21</v>
      </c>
      <c r="D130" s="2" t="str">
        <f t="shared" ref="D130:D193" si="4">IFERROR(_xlfn.XLOOKUP(A130,$G:$G,$F:$F,""),"")</f>
        <v>2012/01/30 10:00:00</v>
      </c>
      <c r="F130" s="2" t="str">
        <v>2012/01/30 10:00:00</v>
      </c>
      <c r="G130">
        <f t="shared" ref="G130:G193" si="5">IFERROR(INT(F130),"")</f>
        <v>40938</v>
      </c>
    </row>
    <row r="131" spans="1:7" x14ac:dyDescent="0.25">
      <c r="A131" s="1">
        <v>40967</v>
      </c>
      <c r="B131">
        <v>-0.15</v>
      </c>
      <c r="C131">
        <v>-0.18</v>
      </c>
      <c r="D131" s="2" t="str">
        <f t="shared" si="4"/>
        <v>2012/02/28 10:00:00</v>
      </c>
      <c r="F131" s="2" t="str">
        <v>2012/02/28 10:00:00</v>
      </c>
      <c r="G131">
        <f t="shared" si="5"/>
        <v>40967</v>
      </c>
    </row>
    <row r="132" spans="1:7" x14ac:dyDescent="0.25">
      <c r="A132" s="1">
        <v>40997</v>
      </c>
      <c r="B132">
        <v>-0.16</v>
      </c>
      <c r="C132">
        <v>-0.3</v>
      </c>
      <c r="D132" s="2" t="str">
        <f t="shared" si="4"/>
        <v>2012/03/29 09:00:00</v>
      </c>
      <c r="F132" s="2" t="str">
        <v>2012/03/29 09:00:00</v>
      </c>
      <c r="G132">
        <f t="shared" si="5"/>
        <v>40997</v>
      </c>
    </row>
    <row r="133" spans="1:7" x14ac:dyDescent="0.25">
      <c r="A133" s="1">
        <v>41025</v>
      </c>
      <c r="B133">
        <v>-0.3</v>
      </c>
      <c r="C133">
        <v>-0.52</v>
      </c>
      <c r="D133" s="2" t="str">
        <f t="shared" si="4"/>
        <v>2012/04/26 09:00:00</v>
      </c>
      <c r="F133" s="2" t="str">
        <v>2012/04/26 09:00:00</v>
      </c>
      <c r="G133">
        <f t="shared" si="5"/>
        <v>41025</v>
      </c>
    </row>
    <row r="134" spans="1:7" x14ac:dyDescent="0.25">
      <c r="A134" s="1">
        <v>41059</v>
      </c>
      <c r="B134">
        <v>-0.67</v>
      </c>
      <c r="C134">
        <v>-0.77</v>
      </c>
      <c r="D134" s="2" t="str">
        <f t="shared" si="4"/>
        <v>2012/05/30 09:00:00</v>
      </c>
      <c r="F134" s="2" t="str">
        <v>2012/05/30 09:00:00</v>
      </c>
      <c r="G134">
        <f t="shared" si="5"/>
        <v>41059</v>
      </c>
    </row>
    <row r="135" spans="1:7" x14ac:dyDescent="0.25">
      <c r="A135" s="1">
        <v>41088</v>
      </c>
      <c r="B135">
        <v>-0.87</v>
      </c>
      <c r="C135">
        <v>-0.94</v>
      </c>
      <c r="D135" s="2" t="str">
        <f t="shared" si="4"/>
        <v>2012/06/28 09:00:00</v>
      </c>
      <c r="F135" s="2" t="str">
        <v>2012/06/28 09:00:00</v>
      </c>
      <c r="G135">
        <f t="shared" si="5"/>
        <v>41088</v>
      </c>
    </row>
    <row r="136" spans="1:7" x14ac:dyDescent="0.25">
      <c r="A136" s="1">
        <v>41120</v>
      </c>
      <c r="B136">
        <v>-1.0900000000000001</v>
      </c>
      <c r="C136">
        <v>-1.27</v>
      </c>
      <c r="D136" s="2" t="str">
        <f t="shared" si="4"/>
        <v>2012/07/30 09:30:00</v>
      </c>
      <c r="F136" s="2" t="str">
        <v>2012/07/30 09:30:00</v>
      </c>
      <c r="G136">
        <f t="shared" si="5"/>
        <v>41120</v>
      </c>
    </row>
    <row r="137" spans="1:7" x14ac:dyDescent="0.25">
      <c r="A137" s="1">
        <v>41151</v>
      </c>
      <c r="B137">
        <v>-1.3</v>
      </c>
      <c r="C137">
        <v>-1.21</v>
      </c>
      <c r="D137" s="2" t="str">
        <f t="shared" si="4"/>
        <v>2012/08/30 09:00:00</v>
      </c>
      <c r="F137" s="2" t="str">
        <v>2012/08/30 09:00:00</v>
      </c>
      <c r="G137">
        <f t="shared" si="5"/>
        <v>41151</v>
      </c>
    </row>
    <row r="138" spans="1:7" x14ac:dyDescent="0.25">
      <c r="A138" s="1">
        <v>41179</v>
      </c>
      <c r="B138">
        <v>-1.2</v>
      </c>
      <c r="C138">
        <v>-1.34</v>
      </c>
      <c r="D138" s="2" t="str">
        <f t="shared" si="4"/>
        <v>2012/09/27 09:00:00</v>
      </c>
      <c r="F138" s="2" t="str">
        <v>2012/09/27 09:00:00</v>
      </c>
      <c r="G138">
        <f t="shared" si="5"/>
        <v>41179</v>
      </c>
    </row>
    <row r="139" spans="1:7" x14ac:dyDescent="0.25">
      <c r="A139" s="1">
        <v>41212</v>
      </c>
      <c r="B139">
        <v>-1.38</v>
      </c>
      <c r="C139">
        <v>-1.62</v>
      </c>
      <c r="D139" s="2" t="str">
        <f t="shared" si="4"/>
        <v>2012/10/30 10:00:00</v>
      </c>
      <c r="F139" s="2" t="str">
        <v>2012/10/30 10:00:00</v>
      </c>
      <c r="G139">
        <f t="shared" si="5"/>
        <v>41212</v>
      </c>
    </row>
    <row r="140" spans="1:7" x14ac:dyDescent="0.25">
      <c r="A140" s="1">
        <v>41242</v>
      </c>
      <c r="B140">
        <v>-1.6</v>
      </c>
      <c r="C140">
        <v>-1.19</v>
      </c>
      <c r="D140" s="2" t="str">
        <f t="shared" si="4"/>
        <v>2012/11/29 10:00:00</v>
      </c>
      <c r="F140" s="2" t="str">
        <v>2012/11/29 10:00:00</v>
      </c>
      <c r="G140">
        <f t="shared" si="5"/>
        <v>41242</v>
      </c>
    </row>
    <row r="141" spans="1:7" x14ac:dyDescent="0.25">
      <c r="A141" s="1">
        <v>41282</v>
      </c>
      <c r="B141">
        <v>-1.0900000000000001</v>
      </c>
      <c r="C141">
        <v>-1.1200000000000001</v>
      </c>
      <c r="D141" s="2" t="str">
        <f t="shared" si="4"/>
        <v>2013/01/08 10:00:00</v>
      </c>
      <c r="F141" s="2" t="str">
        <v>2013/01/08 10:00:00</v>
      </c>
      <c r="G141">
        <f t="shared" si="5"/>
        <v>41282</v>
      </c>
    </row>
    <row r="142" spans="1:7" x14ac:dyDescent="0.25">
      <c r="A142" s="1">
        <v>41304</v>
      </c>
      <c r="B142">
        <v>-1</v>
      </c>
      <c r="C142">
        <v>-1.0900000000000001</v>
      </c>
      <c r="D142" s="2" t="str">
        <f t="shared" si="4"/>
        <v>2013/01/30 10:00:00</v>
      </c>
      <c r="F142" s="2" t="str">
        <v>2013/01/30 10:00:00</v>
      </c>
      <c r="G142">
        <f t="shared" si="5"/>
        <v>41304</v>
      </c>
    </row>
    <row r="143" spans="1:7" x14ac:dyDescent="0.25">
      <c r="A143" s="1">
        <v>41332</v>
      </c>
      <c r="B143">
        <v>-1.02</v>
      </c>
      <c r="C143">
        <v>-0.73</v>
      </c>
      <c r="D143" s="2" t="str">
        <f t="shared" si="4"/>
        <v>2013/02/27 10:00:00</v>
      </c>
      <c r="F143" s="2" t="str">
        <v>2013/02/27 10:00:00</v>
      </c>
      <c r="G143">
        <f t="shared" si="5"/>
        <v>41332</v>
      </c>
    </row>
    <row r="144" spans="1:7" x14ac:dyDescent="0.25">
      <c r="A144" s="1">
        <v>41360</v>
      </c>
      <c r="B144">
        <v>-0.79</v>
      </c>
      <c r="C144">
        <v>-0.86</v>
      </c>
      <c r="D144" s="2" t="str">
        <f t="shared" si="4"/>
        <v>2013/03/27 10:00:00</v>
      </c>
      <c r="F144" s="2" t="str">
        <v>2013/03/27 10:00:00</v>
      </c>
      <c r="G144">
        <f t="shared" si="5"/>
        <v>41360</v>
      </c>
    </row>
    <row r="145" spans="1:7" x14ac:dyDescent="0.25">
      <c r="A145" s="1">
        <v>41393</v>
      </c>
      <c r="B145">
        <v>-0.91</v>
      </c>
      <c r="C145">
        <v>-0.93</v>
      </c>
      <c r="D145" s="2" t="str">
        <f t="shared" si="4"/>
        <v>2013/04/29 09:00:00</v>
      </c>
      <c r="F145" s="2" t="str">
        <v>2013/04/29 09:00:00</v>
      </c>
      <c r="G145">
        <f t="shared" si="5"/>
        <v>41393</v>
      </c>
    </row>
    <row r="146" spans="1:7" x14ac:dyDescent="0.25">
      <c r="A146" s="1">
        <v>41424</v>
      </c>
      <c r="B146">
        <v>-0.85</v>
      </c>
      <c r="C146">
        <v>-0.76</v>
      </c>
      <c r="D146" s="2" t="str">
        <f t="shared" si="4"/>
        <v>2013/05/30 09:00:00</v>
      </c>
      <c r="F146" s="2" t="str">
        <v>2013/05/30 09:00:00</v>
      </c>
      <c r="G146">
        <f t="shared" si="5"/>
        <v>41424</v>
      </c>
    </row>
    <row r="147" spans="1:7" x14ac:dyDescent="0.25">
      <c r="A147" s="1">
        <v>41452</v>
      </c>
      <c r="B147">
        <v>-0.65</v>
      </c>
      <c r="C147">
        <v>-0.68</v>
      </c>
      <c r="D147" s="2" t="str">
        <f t="shared" si="4"/>
        <v>2013/06/27 09:00:00</v>
      </c>
      <c r="F147" s="2" t="str">
        <v>2013/06/27 09:00:00</v>
      </c>
      <c r="G147">
        <f t="shared" si="5"/>
        <v>41452</v>
      </c>
    </row>
    <row r="148" spans="1:7" x14ac:dyDescent="0.25">
      <c r="A148" s="1">
        <v>41485</v>
      </c>
      <c r="B148">
        <v>-0.54</v>
      </c>
      <c r="C148">
        <v>-0.53</v>
      </c>
      <c r="D148" s="2" t="str">
        <f t="shared" si="4"/>
        <v>2013/07/30 09:00:00</v>
      </c>
      <c r="F148" s="2" t="str">
        <v>2013/07/30 09:00:00</v>
      </c>
      <c r="G148">
        <f t="shared" si="5"/>
        <v>41485</v>
      </c>
    </row>
    <row r="149" spans="1:7" x14ac:dyDescent="0.25">
      <c r="A149" s="1">
        <v>41516</v>
      </c>
      <c r="B149">
        <v>-0.36</v>
      </c>
      <c r="C149">
        <v>-0.21</v>
      </c>
      <c r="D149" s="2" t="str">
        <f t="shared" si="4"/>
        <v>2013/08/30 09:00:00</v>
      </c>
      <c r="F149" s="2" t="str">
        <v>2013/08/30 09:00:00</v>
      </c>
      <c r="G149">
        <f t="shared" si="5"/>
        <v>41516</v>
      </c>
    </row>
    <row r="150" spans="1:7" x14ac:dyDescent="0.25">
      <c r="A150" s="1">
        <v>41544</v>
      </c>
      <c r="B150">
        <v>-0.1</v>
      </c>
      <c r="C150">
        <v>-0.2</v>
      </c>
      <c r="D150" s="2" t="str">
        <f t="shared" si="4"/>
        <v>2013/09/27 09:00:00</v>
      </c>
      <c r="F150" s="2" t="str">
        <v>2013/09/27 09:00:00</v>
      </c>
      <c r="G150">
        <f t="shared" si="5"/>
        <v>41544</v>
      </c>
    </row>
    <row r="151" spans="1:7" x14ac:dyDescent="0.25">
      <c r="A151" s="1">
        <v>41577</v>
      </c>
      <c r="B151">
        <v>-0.19</v>
      </c>
      <c r="C151">
        <v>-0.01</v>
      </c>
      <c r="D151" s="2" t="str">
        <f t="shared" si="4"/>
        <v>2013/10/30 10:00:00</v>
      </c>
      <c r="F151" s="2" t="str">
        <v>2013/10/30 10:00:00</v>
      </c>
      <c r="G151">
        <f t="shared" si="5"/>
        <v>41577</v>
      </c>
    </row>
    <row r="152" spans="1:7" x14ac:dyDescent="0.25">
      <c r="A152" s="1">
        <v>41606</v>
      </c>
      <c r="B152">
        <v>0.05</v>
      </c>
      <c r="C152">
        <v>0.18</v>
      </c>
      <c r="D152" s="2" t="str">
        <f t="shared" si="4"/>
        <v>2013/11/28 10:00:00</v>
      </c>
      <c r="F152" s="2" t="str">
        <v>2013/11/28 10:00:00</v>
      </c>
      <c r="G152">
        <f t="shared" si="5"/>
        <v>41606</v>
      </c>
    </row>
    <row r="153" spans="1:7" x14ac:dyDescent="0.25">
      <c r="A153" s="1">
        <v>41648</v>
      </c>
      <c r="B153">
        <v>0.22</v>
      </c>
      <c r="C153">
        <v>0.27</v>
      </c>
      <c r="D153" s="2" t="str">
        <f t="shared" si="4"/>
        <v>2014/01/09 10:00:00</v>
      </c>
      <c r="F153" s="2" t="str">
        <v>2014/01/09 10:00:00</v>
      </c>
      <c r="G153">
        <f t="shared" si="5"/>
        <v>41648</v>
      </c>
    </row>
    <row r="154" spans="1:7" x14ac:dyDescent="0.25">
      <c r="A154" s="1">
        <v>41669</v>
      </c>
      <c r="B154">
        <v>0.35</v>
      </c>
      <c r="C154">
        <v>0.19</v>
      </c>
      <c r="D154" s="2" t="str">
        <f t="shared" si="4"/>
        <v>2014/01/30 10:00:00</v>
      </c>
      <c r="F154" s="2" t="str">
        <v>2014/01/30 10:00:00</v>
      </c>
      <c r="G154">
        <f t="shared" si="5"/>
        <v>41669</v>
      </c>
    </row>
    <row r="155" spans="1:7" x14ac:dyDescent="0.25">
      <c r="A155" s="1">
        <v>41697</v>
      </c>
      <c r="B155">
        <v>0.2</v>
      </c>
      <c r="C155">
        <v>0.37</v>
      </c>
      <c r="D155" s="2" t="str">
        <f t="shared" si="4"/>
        <v>2014/02/27 10:00:00</v>
      </c>
      <c r="F155" s="2" t="str">
        <v>2014/02/27 10:00:00</v>
      </c>
      <c r="G155">
        <f t="shared" si="5"/>
        <v>41697</v>
      </c>
    </row>
    <row r="156" spans="1:7" x14ac:dyDescent="0.25">
      <c r="A156" s="1">
        <v>41726</v>
      </c>
      <c r="B156">
        <v>0.38</v>
      </c>
      <c r="C156">
        <v>0.39</v>
      </c>
      <c r="D156" s="2" t="str">
        <f t="shared" si="4"/>
        <v>2014/03/28 10:00:00</v>
      </c>
      <c r="F156" s="2" t="str">
        <v>2014/03/28 10:00:00</v>
      </c>
      <c r="G156">
        <f t="shared" si="5"/>
        <v>41726</v>
      </c>
    </row>
    <row r="157" spans="1:7" x14ac:dyDescent="0.25">
      <c r="A157" s="1">
        <v>41758</v>
      </c>
      <c r="B157">
        <v>0.42</v>
      </c>
      <c r="C157">
        <v>0.27</v>
      </c>
      <c r="D157" s="2" t="str">
        <f t="shared" si="4"/>
        <v>2014/04/29 09:00:00</v>
      </c>
      <c r="F157" s="2" t="str">
        <v>2014/04/29 09:00:00</v>
      </c>
      <c r="G157">
        <f t="shared" si="5"/>
        <v>41758</v>
      </c>
    </row>
    <row r="158" spans="1:7" x14ac:dyDescent="0.25">
      <c r="A158" s="1">
        <v>41787</v>
      </c>
      <c r="B158">
        <v>0.3</v>
      </c>
      <c r="C158">
        <v>0.37</v>
      </c>
      <c r="D158" s="2" t="str">
        <f t="shared" si="4"/>
        <v>2014/05/28 09:00:00</v>
      </c>
      <c r="F158" s="2" t="str">
        <v>2014/05/28 09:00:00</v>
      </c>
      <c r="G158">
        <f t="shared" si="5"/>
        <v>41787</v>
      </c>
    </row>
    <row r="159" spans="1:7" x14ac:dyDescent="0.25">
      <c r="A159" s="1">
        <v>41817</v>
      </c>
      <c r="B159">
        <v>0.4</v>
      </c>
      <c r="C159">
        <v>0.22</v>
      </c>
      <c r="D159" s="2" t="str">
        <f t="shared" si="4"/>
        <v>2014/06/27 09:00:00</v>
      </c>
      <c r="F159" s="2" t="str">
        <v>2014/06/27 09:00:00</v>
      </c>
      <c r="G159">
        <f t="shared" si="5"/>
        <v>41817</v>
      </c>
    </row>
    <row r="160" spans="1:7" x14ac:dyDescent="0.25">
      <c r="A160" s="1">
        <v>41850</v>
      </c>
      <c r="B160">
        <v>0.2</v>
      </c>
      <c r="C160">
        <v>0.17</v>
      </c>
      <c r="D160" s="2" t="str">
        <f t="shared" si="4"/>
        <v>2014/07/30 09:00:00</v>
      </c>
      <c r="F160" s="2" t="str">
        <v>2014/07/30 09:00:00</v>
      </c>
      <c r="G160">
        <f t="shared" si="5"/>
        <v>41850</v>
      </c>
    </row>
    <row r="161" spans="1:7" x14ac:dyDescent="0.25">
      <c r="A161" s="1">
        <v>41879</v>
      </c>
      <c r="B161">
        <v>0.1</v>
      </c>
      <c r="C161">
        <v>0.16</v>
      </c>
      <c r="D161" s="2" t="str">
        <f t="shared" si="4"/>
        <v>2014/08/28 09:00:00</v>
      </c>
      <c r="F161" s="2" t="str">
        <v>2014/08/28 09:00:00</v>
      </c>
      <c r="G161">
        <f t="shared" si="5"/>
        <v>41879</v>
      </c>
    </row>
    <row r="162" spans="1:7" x14ac:dyDescent="0.25">
      <c r="A162" s="1">
        <v>41911</v>
      </c>
      <c r="B162">
        <v>0.1</v>
      </c>
      <c r="C162">
        <v>7.0000000000000007E-2</v>
      </c>
      <c r="D162" s="2" t="str">
        <f t="shared" si="4"/>
        <v>2014/09/29 09:00:00</v>
      </c>
      <c r="F162" s="2" t="str">
        <v>2014/09/29 09:00:00</v>
      </c>
      <c r="G162">
        <f t="shared" si="5"/>
        <v>41911</v>
      </c>
    </row>
    <row r="163" spans="1:7" x14ac:dyDescent="0.25">
      <c r="A163" s="1">
        <v>41942</v>
      </c>
      <c r="B163">
        <v>0.05</v>
      </c>
      <c r="C163">
        <v>0.05</v>
      </c>
      <c r="D163" s="2" t="str">
        <f t="shared" si="4"/>
        <v>2014/10/30 10:00:00</v>
      </c>
      <c r="F163" s="2" t="str">
        <v>2014/10/30 10:00:00</v>
      </c>
      <c r="G163">
        <f t="shared" si="5"/>
        <v>41942</v>
      </c>
    </row>
    <row r="164" spans="1:7" x14ac:dyDescent="0.25">
      <c r="A164" s="1">
        <v>41970</v>
      </c>
      <c r="B164">
        <v>0.02</v>
      </c>
      <c r="C164">
        <v>0.18</v>
      </c>
      <c r="D164" s="2" t="str">
        <f t="shared" si="4"/>
        <v>2014/11/27 10:00:00</v>
      </c>
      <c r="F164" s="2" t="str">
        <v>2014/11/27 10:00:00</v>
      </c>
      <c r="G164">
        <f t="shared" si="5"/>
        <v>41970</v>
      </c>
    </row>
    <row r="165" spans="1:7" x14ac:dyDescent="0.25">
      <c r="A165" s="1">
        <v>42012</v>
      </c>
      <c r="B165">
        <v>0.17</v>
      </c>
      <c r="C165">
        <v>0.04</v>
      </c>
      <c r="D165" s="2" t="str">
        <f t="shared" si="4"/>
        <v>2015/01/08 10:00:00</v>
      </c>
      <c r="F165" s="2" t="str">
        <v>2015/01/08 10:00:00</v>
      </c>
      <c r="G165">
        <f t="shared" si="5"/>
        <v>42012</v>
      </c>
    </row>
    <row r="166" spans="1:7" x14ac:dyDescent="0.25">
      <c r="A166" s="1">
        <v>42033</v>
      </c>
      <c r="B166">
        <v>0.12</v>
      </c>
      <c r="C166">
        <v>0.16</v>
      </c>
      <c r="D166" s="2" t="str">
        <f t="shared" si="4"/>
        <v>2015/01/29 10:00:00</v>
      </c>
      <c r="F166" s="2" t="str">
        <v>2015/01/29 10:00:00</v>
      </c>
      <c r="G166">
        <f t="shared" si="5"/>
        <v>42033</v>
      </c>
    </row>
    <row r="167" spans="1:7" x14ac:dyDescent="0.25">
      <c r="A167" s="1">
        <v>42061</v>
      </c>
      <c r="B167">
        <v>0.23</v>
      </c>
      <c r="C167">
        <v>7.0000000000000007E-2</v>
      </c>
      <c r="D167" s="2" t="str">
        <f t="shared" si="4"/>
        <v>2015/02/26 10:00:00</v>
      </c>
      <c r="F167" s="2" t="str">
        <v>2015/02/26 10:00:00</v>
      </c>
      <c r="G167">
        <f t="shared" si="5"/>
        <v>42061</v>
      </c>
    </row>
    <row r="168" spans="1:7" x14ac:dyDescent="0.25">
      <c r="A168" s="1">
        <v>42093</v>
      </c>
      <c r="B168">
        <v>0.18</v>
      </c>
      <c r="C168">
        <v>0.23</v>
      </c>
      <c r="D168" s="2" t="str">
        <f t="shared" si="4"/>
        <v>2015/03/30 09:00:00</v>
      </c>
      <c r="F168" s="2" t="str">
        <v>2015/03/30 09:00:00</v>
      </c>
      <c r="G168">
        <f t="shared" si="5"/>
        <v>42093</v>
      </c>
    </row>
    <row r="169" spans="1:7" x14ac:dyDescent="0.25">
      <c r="A169" s="1">
        <v>42123</v>
      </c>
      <c r="B169">
        <v>0.2</v>
      </c>
      <c r="C169">
        <v>0.32</v>
      </c>
      <c r="D169" s="2" t="str">
        <f t="shared" si="4"/>
        <v>2015/04/29 09:00:00</v>
      </c>
      <c r="F169" s="2" t="str">
        <v>2015/04/29 09:00:00</v>
      </c>
      <c r="G169">
        <f t="shared" si="5"/>
        <v>42123</v>
      </c>
    </row>
    <row r="170" spans="1:7" x14ac:dyDescent="0.25">
      <c r="A170" s="1">
        <v>42152</v>
      </c>
      <c r="B170">
        <v>0.35</v>
      </c>
      <c r="C170">
        <v>0.28000000000000003</v>
      </c>
      <c r="D170" s="2" t="str">
        <f t="shared" si="4"/>
        <v>2015/05/28 09:00:00</v>
      </c>
      <c r="F170" s="2" t="str">
        <v>2015/05/28 09:00:00</v>
      </c>
      <c r="G170">
        <f t="shared" si="5"/>
        <v>42152</v>
      </c>
    </row>
    <row r="171" spans="1:7" x14ac:dyDescent="0.25">
      <c r="A171" s="1">
        <v>42184</v>
      </c>
      <c r="B171">
        <v>0.27</v>
      </c>
      <c r="C171">
        <v>0.14000000000000001</v>
      </c>
      <c r="D171" s="2" t="str">
        <f t="shared" si="4"/>
        <v>2015/06/29 09:00:00</v>
      </c>
      <c r="F171" s="2" t="str">
        <v>2015/06/29 09:00:00</v>
      </c>
      <c r="G171">
        <f t="shared" si="5"/>
        <v>42184</v>
      </c>
    </row>
    <row r="172" spans="1:7" x14ac:dyDescent="0.25">
      <c r="A172" s="1">
        <v>42215</v>
      </c>
      <c r="B172">
        <v>0.19</v>
      </c>
      <c r="C172">
        <v>0.39</v>
      </c>
      <c r="D172" s="2" t="str">
        <f t="shared" si="4"/>
        <v>2015/07/30 09:00:00</v>
      </c>
      <c r="F172" s="2" t="str">
        <v>2015/07/30 09:00:00</v>
      </c>
      <c r="G172">
        <f t="shared" si="5"/>
        <v>42215</v>
      </c>
    </row>
    <row r="173" spans="1:7" x14ac:dyDescent="0.25">
      <c r="A173" s="1">
        <v>42244</v>
      </c>
      <c r="B173">
        <v>0.34</v>
      </c>
      <c r="C173">
        <v>0.21</v>
      </c>
      <c r="D173" s="2" t="str">
        <f t="shared" si="4"/>
        <v>2015/08/28 09:00:00</v>
      </c>
      <c r="F173" s="2" t="str">
        <v>2015/08/28 09:00:00</v>
      </c>
      <c r="G173">
        <f t="shared" si="5"/>
        <v>42244</v>
      </c>
    </row>
    <row r="174" spans="1:7" x14ac:dyDescent="0.25">
      <c r="A174" s="1">
        <v>42276</v>
      </c>
      <c r="B174">
        <v>0.21</v>
      </c>
      <c r="C174">
        <v>0.34</v>
      </c>
      <c r="D174" s="2" t="str">
        <f t="shared" si="4"/>
        <v>2015/09/29 09:00:00</v>
      </c>
      <c r="F174" s="2" t="str">
        <v>2015/09/29 09:00:00</v>
      </c>
      <c r="G174">
        <f t="shared" si="5"/>
        <v>42276</v>
      </c>
    </row>
    <row r="175" spans="1:7" x14ac:dyDescent="0.25">
      <c r="A175" s="1">
        <v>42306</v>
      </c>
      <c r="B175">
        <v>0.31</v>
      </c>
      <c r="C175">
        <v>0.44</v>
      </c>
      <c r="D175" s="2" t="str">
        <f t="shared" si="4"/>
        <v>2015/10/29 10:00:00</v>
      </c>
      <c r="F175" s="2" t="str">
        <v>2015/10/29 10:00:00</v>
      </c>
      <c r="G175">
        <f t="shared" si="5"/>
        <v>42306</v>
      </c>
    </row>
    <row r="176" spans="1:7" x14ac:dyDescent="0.25">
      <c r="A176" s="1">
        <v>42335</v>
      </c>
      <c r="B176">
        <v>0.45</v>
      </c>
      <c r="C176">
        <v>0.36</v>
      </c>
      <c r="D176" s="2" t="str">
        <f t="shared" si="4"/>
        <v>2015/11/27 10:00:00</v>
      </c>
      <c r="F176" s="2" t="str">
        <v>2015/11/27 10:00:00</v>
      </c>
      <c r="G176">
        <f t="shared" si="5"/>
        <v>42335</v>
      </c>
    </row>
    <row r="177" spans="1:7" x14ac:dyDescent="0.25">
      <c r="A177" s="1">
        <v>42376</v>
      </c>
      <c r="B177">
        <v>0.39</v>
      </c>
      <c r="C177">
        <v>0.41</v>
      </c>
      <c r="D177" s="2" t="str">
        <f t="shared" si="4"/>
        <v>2016/01/07 10:00:00</v>
      </c>
      <c r="F177" s="2" t="str">
        <v>2016/01/07 10:00:00</v>
      </c>
      <c r="G177">
        <f t="shared" si="5"/>
        <v>42376</v>
      </c>
    </row>
    <row r="178" spans="1:7" x14ac:dyDescent="0.25">
      <c r="A178" s="1">
        <v>42397</v>
      </c>
      <c r="B178">
        <v>0.4</v>
      </c>
      <c r="C178">
        <v>0.28999999999999998</v>
      </c>
      <c r="D178" s="2" t="str">
        <f t="shared" si="4"/>
        <v>2016/01/28 10:00:00</v>
      </c>
      <c r="F178" s="2" t="str">
        <v>2016/01/28 10:00:00</v>
      </c>
      <c r="G178">
        <f t="shared" si="5"/>
        <v>42397</v>
      </c>
    </row>
    <row r="179" spans="1:7" x14ac:dyDescent="0.25">
      <c r="A179" s="1">
        <v>42426</v>
      </c>
      <c r="B179">
        <v>0.27</v>
      </c>
      <c r="C179">
        <v>7.0000000000000007E-2</v>
      </c>
      <c r="D179" s="2" t="str">
        <f t="shared" si="4"/>
        <v>2016/02/26 10:00:00</v>
      </c>
      <c r="F179" s="2" t="str">
        <v>2016/02/26 10:00:00</v>
      </c>
      <c r="G179">
        <f t="shared" si="5"/>
        <v>42426</v>
      </c>
    </row>
    <row r="180" spans="1:7" x14ac:dyDescent="0.25">
      <c r="A180" s="1">
        <v>42459</v>
      </c>
      <c r="B180">
        <v>0.08</v>
      </c>
      <c r="C180">
        <v>0.11</v>
      </c>
      <c r="D180" s="2" t="str">
        <f t="shared" si="4"/>
        <v>2016/03/30 09:00:00</v>
      </c>
      <c r="F180" s="2" t="str">
        <v>2016/03/30 09:00:00</v>
      </c>
      <c r="G180">
        <f t="shared" si="5"/>
        <v>42459</v>
      </c>
    </row>
    <row r="181" spans="1:7" x14ac:dyDescent="0.25">
      <c r="A181" s="1">
        <v>42488</v>
      </c>
      <c r="B181">
        <v>0.14000000000000001</v>
      </c>
      <c r="C181">
        <v>0.13</v>
      </c>
      <c r="D181" s="2" t="str">
        <f t="shared" si="4"/>
        <v>2016/04/28 09:00:00</v>
      </c>
      <c r="F181" s="2" t="str">
        <v>2016/04/28 09:00:00</v>
      </c>
      <c r="G181">
        <f t="shared" si="5"/>
        <v>42488</v>
      </c>
    </row>
    <row r="182" spans="1:7" x14ac:dyDescent="0.25">
      <c r="A182" s="1">
        <v>42520</v>
      </c>
      <c r="B182">
        <v>0.17</v>
      </c>
      <c r="C182">
        <v>0.26</v>
      </c>
      <c r="D182" s="2" t="str">
        <f t="shared" si="4"/>
        <v>2016/05/30 09:00:00</v>
      </c>
      <c r="F182" s="2" t="str">
        <v>2016/05/30 09:00:00</v>
      </c>
      <c r="G182">
        <f t="shared" si="5"/>
        <v>42520</v>
      </c>
    </row>
    <row r="183" spans="1:7" x14ac:dyDescent="0.25">
      <c r="A183" s="1">
        <v>42550</v>
      </c>
      <c r="B183">
        <v>0.26</v>
      </c>
      <c r="C183">
        <v>0.22</v>
      </c>
      <c r="D183" s="2" t="str">
        <f t="shared" si="4"/>
        <v>2016/06/29 09:00:00</v>
      </c>
      <c r="F183" s="2" t="str">
        <v>2016/06/29 09:00:00</v>
      </c>
      <c r="G183">
        <f t="shared" si="5"/>
        <v>42550</v>
      </c>
    </row>
    <row r="184" spans="1:7" x14ac:dyDescent="0.25">
      <c r="A184" s="1">
        <v>42579</v>
      </c>
      <c r="B184">
        <v>0.17</v>
      </c>
      <c r="C184">
        <v>0.39</v>
      </c>
      <c r="D184" s="2" t="str">
        <f t="shared" si="4"/>
        <v>2016/07/28 09:00:00</v>
      </c>
      <c r="F184" s="2" t="str">
        <v>2016/07/28 09:00:00</v>
      </c>
      <c r="G184">
        <f t="shared" si="5"/>
        <v>42579</v>
      </c>
    </row>
    <row r="185" spans="1:7" x14ac:dyDescent="0.25">
      <c r="A185" s="1">
        <v>42612</v>
      </c>
      <c r="B185">
        <v>0.36</v>
      </c>
      <c r="C185">
        <v>0.02</v>
      </c>
      <c r="D185" s="2" t="str">
        <f t="shared" si="4"/>
        <v>2016/08/30 09:00:00</v>
      </c>
      <c r="F185" s="2" t="str">
        <v>2016/08/30 09:00:00</v>
      </c>
      <c r="G185">
        <f t="shared" si="5"/>
        <v>42612</v>
      </c>
    </row>
    <row r="186" spans="1:7" x14ac:dyDescent="0.25">
      <c r="A186" s="1">
        <v>42642</v>
      </c>
      <c r="B186">
        <v>0.05</v>
      </c>
      <c r="C186">
        <v>0.45</v>
      </c>
      <c r="D186" s="2" t="str">
        <f t="shared" si="4"/>
        <v>2016/09/29 09:00:00</v>
      </c>
      <c r="F186" s="2" t="str">
        <v>2016/09/29 09:00:00</v>
      </c>
      <c r="G186">
        <f t="shared" si="5"/>
        <v>42642</v>
      </c>
    </row>
    <row r="187" spans="1:7" x14ac:dyDescent="0.25">
      <c r="A187" s="1">
        <v>42671</v>
      </c>
      <c r="B187">
        <v>0.46</v>
      </c>
      <c r="C187">
        <v>0.55000000000000004</v>
      </c>
      <c r="D187" s="2" t="str">
        <f t="shared" si="4"/>
        <v>2016/10/28 09:00:00</v>
      </c>
      <c r="F187" s="2" t="str">
        <v>2016/10/28 09:00:00</v>
      </c>
      <c r="G187">
        <f t="shared" si="5"/>
        <v>42671</v>
      </c>
    </row>
    <row r="188" spans="1:7" x14ac:dyDescent="0.25">
      <c r="A188" s="1">
        <v>42703</v>
      </c>
      <c r="B188">
        <v>0.6</v>
      </c>
      <c r="C188">
        <v>0.42</v>
      </c>
      <c r="D188" s="2" t="str">
        <f t="shared" si="4"/>
        <v>2016/11/29 10:00:00</v>
      </c>
      <c r="F188" s="2" t="str">
        <v>2016/11/29 10:00:00</v>
      </c>
      <c r="G188">
        <f t="shared" si="5"/>
        <v>42703</v>
      </c>
    </row>
    <row r="189" spans="1:7" x14ac:dyDescent="0.25">
      <c r="A189" s="1">
        <v>42741</v>
      </c>
      <c r="B189">
        <v>0.47</v>
      </c>
      <c r="C189">
        <v>0.79</v>
      </c>
      <c r="D189" s="2" t="str">
        <f t="shared" si="4"/>
        <v>2017/01/06 10:00:00</v>
      </c>
      <c r="F189" s="2" t="str">
        <v>2017/01/06 10:00:00</v>
      </c>
      <c r="G189">
        <f t="shared" si="5"/>
        <v>42741</v>
      </c>
    </row>
    <row r="190" spans="1:7" x14ac:dyDescent="0.25">
      <c r="A190" s="1">
        <v>42765</v>
      </c>
      <c r="B190">
        <v>0.8</v>
      </c>
      <c r="C190">
        <v>0.77</v>
      </c>
      <c r="D190" s="2" t="str">
        <f t="shared" si="4"/>
        <v>2017/01/30 10:00:00</v>
      </c>
      <c r="F190" s="2" t="str">
        <v>2017/01/30 10:00:00</v>
      </c>
      <c r="G190">
        <f t="shared" si="5"/>
        <v>42765</v>
      </c>
    </row>
    <row r="191" spans="1:7" x14ac:dyDescent="0.25">
      <c r="A191" s="1">
        <v>42793</v>
      </c>
      <c r="B191">
        <v>0.79</v>
      </c>
      <c r="C191">
        <v>0.82</v>
      </c>
      <c r="D191" s="2" t="str">
        <f t="shared" si="4"/>
        <v>2017/02/27 10:00:00</v>
      </c>
      <c r="F191" s="2" t="str">
        <v>2017/02/27 10:00:00</v>
      </c>
      <c r="G191">
        <f t="shared" si="5"/>
        <v>42793</v>
      </c>
    </row>
    <row r="192" spans="1:7" x14ac:dyDescent="0.25">
      <c r="A192" s="1">
        <v>42824</v>
      </c>
      <c r="B192">
        <v>0.87</v>
      </c>
      <c r="C192">
        <v>0.82</v>
      </c>
      <c r="D192" s="2" t="str">
        <f t="shared" si="4"/>
        <v>2017/03/30 09:00:00</v>
      </c>
      <c r="F192" s="2" t="str">
        <v>2017/03/30 09:00:00</v>
      </c>
      <c r="G192">
        <f t="shared" si="5"/>
        <v>42824</v>
      </c>
    </row>
    <row r="193" spans="1:7" x14ac:dyDescent="0.25">
      <c r="A193" s="1">
        <v>42852</v>
      </c>
      <c r="B193">
        <v>0.82</v>
      </c>
      <c r="C193">
        <v>1.0900000000000001</v>
      </c>
      <c r="D193" s="2" t="str">
        <f t="shared" si="4"/>
        <v>2017/04/27 09:00:00</v>
      </c>
      <c r="F193" s="2" t="str">
        <v>2017/04/27 09:00:00</v>
      </c>
      <c r="G193">
        <f t="shared" si="5"/>
        <v>42852</v>
      </c>
    </row>
    <row r="194" spans="1:7" x14ac:dyDescent="0.25">
      <c r="A194" s="1">
        <v>42885</v>
      </c>
      <c r="B194">
        <v>1.1100000000000001</v>
      </c>
      <c r="C194">
        <v>0.9</v>
      </c>
      <c r="D194" s="2" t="str">
        <f t="shared" ref="D194:D225" si="6">IFERROR(_xlfn.XLOOKUP(A194,$G:$G,$F:$F,""),"")</f>
        <v>2017/05/30 09:00:00</v>
      </c>
      <c r="F194" s="2" t="str">
        <v>2017/05/30 09:00:00</v>
      </c>
      <c r="G194">
        <f t="shared" ref="G194:G225" si="7">IFERROR(INT(F194),"")</f>
        <v>42885</v>
      </c>
    </row>
    <row r="195" spans="1:7" x14ac:dyDescent="0.25">
      <c r="A195" s="1">
        <v>42915</v>
      </c>
      <c r="B195">
        <v>0.93</v>
      </c>
      <c r="C195">
        <v>1.1499999999999999</v>
      </c>
      <c r="D195" s="2" t="str">
        <f t="shared" si="6"/>
        <v>2017/06/29 09:00:00</v>
      </c>
      <c r="F195" s="2" t="str">
        <v>2017/06/29 09:00:00</v>
      </c>
      <c r="G195">
        <f t="shared" si="7"/>
        <v>42915</v>
      </c>
    </row>
    <row r="196" spans="1:7" x14ac:dyDescent="0.25">
      <c r="A196" s="1">
        <v>42944</v>
      </c>
      <c r="B196">
        <v>1.1399999999999999</v>
      </c>
      <c r="C196">
        <v>1.05</v>
      </c>
      <c r="D196" s="2" t="str">
        <f t="shared" si="6"/>
        <v>2017/07/28 09:00:00</v>
      </c>
      <c r="F196" s="2" t="str">
        <v>2017/07/28 09:00:00</v>
      </c>
      <c r="G196">
        <f t="shared" si="7"/>
        <v>42944</v>
      </c>
    </row>
    <row r="197" spans="1:7" x14ac:dyDescent="0.25">
      <c r="A197" s="1">
        <v>42977</v>
      </c>
      <c r="B197">
        <v>1.05</v>
      </c>
      <c r="C197">
        <v>1.0900000000000001</v>
      </c>
      <c r="D197" s="2" t="str">
        <f t="shared" si="6"/>
        <v>2017/08/30 09:00:00</v>
      </c>
      <c r="F197" s="2" t="str">
        <v>2017/08/30 09:00:00</v>
      </c>
      <c r="G197">
        <f t="shared" si="7"/>
        <v>42977</v>
      </c>
    </row>
    <row r="198" spans="1:7" x14ac:dyDescent="0.25">
      <c r="A198" s="1">
        <v>43006</v>
      </c>
      <c r="B198">
        <v>1.1200000000000001</v>
      </c>
      <c r="C198">
        <v>1.34</v>
      </c>
      <c r="D198" s="2" t="str">
        <f t="shared" si="6"/>
        <v>2017/09/28 09:00:00</v>
      </c>
      <c r="F198" s="2" t="str">
        <v>2017/09/28 09:00:00</v>
      </c>
      <c r="G198">
        <f t="shared" si="7"/>
        <v>43006</v>
      </c>
    </row>
    <row r="199" spans="1:7" x14ac:dyDescent="0.25">
      <c r="A199" s="1">
        <v>43038</v>
      </c>
      <c r="B199">
        <v>1.4</v>
      </c>
      <c r="C199">
        <v>1.44</v>
      </c>
      <c r="D199" s="2" t="str">
        <f t="shared" si="6"/>
        <v>2017/10/30 10:00:00</v>
      </c>
      <c r="F199" s="2" t="str">
        <v>2017/10/30 10:00:00</v>
      </c>
      <c r="G199">
        <f t="shared" si="7"/>
        <v>43038</v>
      </c>
    </row>
    <row r="200" spans="1:7" x14ac:dyDescent="0.25">
      <c r="A200" s="1">
        <v>43068</v>
      </c>
      <c r="B200">
        <v>1.51</v>
      </c>
      <c r="C200">
        <v>1.49</v>
      </c>
      <c r="D200" s="2" t="str">
        <f t="shared" si="6"/>
        <v>2017/11/29 10:00:00</v>
      </c>
      <c r="F200" s="2" t="str">
        <v>2017/11/29 10:00:00</v>
      </c>
      <c r="G200">
        <f t="shared" si="7"/>
        <v>43068</v>
      </c>
    </row>
    <row r="201" spans="1:7" x14ac:dyDescent="0.25">
      <c r="A201" s="1">
        <v>43108</v>
      </c>
      <c r="B201">
        <v>1.5</v>
      </c>
      <c r="C201">
        <v>1.66</v>
      </c>
      <c r="D201" s="2" t="str">
        <f t="shared" si="6"/>
        <v>2018/01/08 10:00:00</v>
      </c>
      <c r="F201" s="2" t="str">
        <v>2018/01/08 10:00:00</v>
      </c>
      <c r="G201">
        <f t="shared" si="7"/>
        <v>43108</v>
      </c>
    </row>
    <row r="202" spans="1:7" x14ac:dyDescent="0.25">
      <c r="A202" s="1">
        <v>43130</v>
      </c>
      <c r="B202">
        <v>1.68</v>
      </c>
      <c r="C202">
        <v>1.54</v>
      </c>
      <c r="D202" s="2" t="str">
        <f t="shared" si="6"/>
        <v>2018/01/30 10:00:00</v>
      </c>
      <c r="F202" s="2" t="str">
        <v>2018/01/30 10:00:00</v>
      </c>
      <c r="G202">
        <f t="shared" si="7"/>
        <v>43130</v>
      </c>
    </row>
    <row r="203" spans="1:7" x14ac:dyDescent="0.25">
      <c r="A203" s="1">
        <v>43158</v>
      </c>
      <c r="B203">
        <v>1.47</v>
      </c>
      <c r="C203">
        <v>1.48</v>
      </c>
      <c r="D203" s="2" t="str">
        <f t="shared" si="6"/>
        <v>2018/02/27 10:00:00</v>
      </c>
      <c r="F203" s="2" t="str">
        <v>2018/02/27 10:00:00</v>
      </c>
      <c r="G203">
        <f t="shared" si="7"/>
        <v>43158</v>
      </c>
    </row>
    <row r="204" spans="1:7" x14ac:dyDescent="0.25">
      <c r="A204" s="1">
        <v>43186</v>
      </c>
      <c r="B204">
        <v>1.36</v>
      </c>
      <c r="C204">
        <v>1.34</v>
      </c>
      <c r="D204" s="2" t="str">
        <f t="shared" si="6"/>
        <v>2018/03/27 09:00:00</v>
      </c>
      <c r="F204" s="2" t="str">
        <v>2018/03/27 09:00:00</v>
      </c>
      <c r="G204">
        <f t="shared" si="7"/>
        <v>43186</v>
      </c>
    </row>
    <row r="205" spans="1:7" x14ac:dyDescent="0.25">
      <c r="A205" s="1">
        <v>43217</v>
      </c>
      <c r="B205">
        <v>1.27</v>
      </c>
      <c r="C205">
        <v>1.35</v>
      </c>
      <c r="D205" s="2" t="str">
        <f t="shared" si="6"/>
        <v>2018/04/27 09:00:00</v>
      </c>
      <c r="F205" s="2" t="str">
        <v>2018/04/27 09:00:00</v>
      </c>
      <c r="G205">
        <f t="shared" si="7"/>
        <v>43217</v>
      </c>
    </row>
    <row r="206" spans="1:7" x14ac:dyDescent="0.25">
      <c r="A206" s="1">
        <v>43250</v>
      </c>
      <c r="B206">
        <v>1.29</v>
      </c>
      <c r="C206">
        <v>1.45</v>
      </c>
      <c r="D206" s="2" t="str">
        <f t="shared" si="6"/>
        <v>2018/05/30 09:00:00</v>
      </c>
      <c r="F206" s="2" t="str">
        <v>2018/05/30 09:00:00</v>
      </c>
      <c r="G206">
        <f t="shared" si="7"/>
        <v>43250</v>
      </c>
    </row>
    <row r="207" spans="1:7" x14ac:dyDescent="0.25">
      <c r="A207" s="1">
        <v>43279</v>
      </c>
      <c r="B207">
        <v>1.4</v>
      </c>
      <c r="C207">
        <v>1.39</v>
      </c>
      <c r="D207" s="2" t="str">
        <f t="shared" si="6"/>
        <v>2018/06/28 09:00:00</v>
      </c>
      <c r="F207" s="2" t="str">
        <v>2018/06/28 09:00:00</v>
      </c>
      <c r="G207">
        <f t="shared" si="7"/>
        <v>43279</v>
      </c>
    </row>
    <row r="208" spans="1:7" x14ac:dyDescent="0.25">
      <c r="A208" s="1">
        <v>43311</v>
      </c>
      <c r="B208">
        <v>1.35</v>
      </c>
      <c r="C208">
        <v>1.29</v>
      </c>
      <c r="D208" s="2" t="str">
        <f t="shared" si="6"/>
        <v>2018/07/30 09:00:00</v>
      </c>
      <c r="F208" s="2" t="str">
        <v>2018/07/30 09:00:00</v>
      </c>
      <c r="G208">
        <f t="shared" si="7"/>
        <v>43311</v>
      </c>
    </row>
    <row r="209" spans="1:7" x14ac:dyDescent="0.25">
      <c r="A209" s="1">
        <v>43342</v>
      </c>
      <c r="B209">
        <v>1.26</v>
      </c>
      <c r="C209">
        <v>1.22</v>
      </c>
      <c r="D209" s="2" t="str">
        <f t="shared" si="6"/>
        <v>2018/08/30 09:00:00</v>
      </c>
      <c r="F209" s="2" t="str">
        <v>2018/08/30 09:00:00</v>
      </c>
      <c r="G209">
        <f t="shared" si="7"/>
        <v>43342</v>
      </c>
    </row>
    <row r="210" spans="1:7" x14ac:dyDescent="0.25">
      <c r="A210" s="1">
        <v>43370</v>
      </c>
      <c r="B210">
        <v>1.19</v>
      </c>
      <c r="C210">
        <v>1.21</v>
      </c>
      <c r="D210" s="2" t="str">
        <f t="shared" si="6"/>
        <v>2018/09/27 09:00:00</v>
      </c>
      <c r="F210" s="2" t="str">
        <v>2018/09/27 09:00:00</v>
      </c>
      <c r="G210">
        <f t="shared" si="7"/>
        <v>43370</v>
      </c>
    </row>
    <row r="211" spans="1:7" x14ac:dyDescent="0.25">
      <c r="A211" s="1">
        <v>43403</v>
      </c>
      <c r="B211">
        <v>1.1599999999999999</v>
      </c>
      <c r="C211">
        <v>1.01</v>
      </c>
      <c r="D211" s="2" t="str">
        <f t="shared" si="6"/>
        <v>2018/10/30 10:00:00</v>
      </c>
      <c r="F211" s="2" t="str">
        <v>2018/10/30 10:00:00</v>
      </c>
      <c r="G211">
        <f t="shared" si="7"/>
        <v>43403</v>
      </c>
    </row>
    <row r="212" spans="1:7" x14ac:dyDescent="0.25">
      <c r="A212" s="1">
        <v>43433</v>
      </c>
      <c r="B212">
        <v>0.96</v>
      </c>
      <c r="C212">
        <v>1.0900000000000001</v>
      </c>
      <c r="D212" s="2" t="str">
        <f t="shared" si="6"/>
        <v>2018/11/29 10:00:00</v>
      </c>
      <c r="F212" s="2" t="str">
        <v>2018/11/29 10:00:00</v>
      </c>
      <c r="G212">
        <f t="shared" si="7"/>
        <v>43433</v>
      </c>
    </row>
    <row r="213" spans="1:7" x14ac:dyDescent="0.25">
      <c r="A213" s="1">
        <v>43473</v>
      </c>
      <c r="B213">
        <v>1</v>
      </c>
      <c r="C213">
        <v>0.82</v>
      </c>
      <c r="D213" s="2" t="str">
        <f t="shared" si="6"/>
        <v>2019/01/08 10:00:00</v>
      </c>
      <c r="F213" s="2" t="str">
        <v>2019/01/08 10:00:00</v>
      </c>
      <c r="G213">
        <f t="shared" si="7"/>
        <v>43473</v>
      </c>
    </row>
    <row r="214" spans="1:7" x14ac:dyDescent="0.25">
      <c r="A214" s="1">
        <v>43495</v>
      </c>
      <c r="B214">
        <v>0.77</v>
      </c>
      <c r="C214">
        <v>0.69</v>
      </c>
      <c r="D214" s="2" t="str">
        <f t="shared" si="6"/>
        <v>2019/01/30 10:00:00</v>
      </c>
      <c r="F214" s="2" t="str">
        <v>2019/01/30 10:00:00</v>
      </c>
      <c r="G214">
        <f t="shared" si="7"/>
        <v>43495</v>
      </c>
    </row>
    <row r="215" spans="1:7" x14ac:dyDescent="0.25">
      <c r="A215" s="1">
        <v>43523</v>
      </c>
      <c r="B215">
        <v>0.66</v>
      </c>
      <c r="C215">
        <v>0.69</v>
      </c>
      <c r="D215" s="2" t="str">
        <f t="shared" si="6"/>
        <v>2019/02/27 10:00:00</v>
      </c>
      <c r="F215" s="2" t="str">
        <v>2019/02/27 10:00:00</v>
      </c>
      <c r="G215">
        <f t="shared" si="7"/>
        <v>43523</v>
      </c>
    </row>
    <row r="216" spans="1:7" x14ac:dyDescent="0.25">
      <c r="A216" s="1">
        <v>43552</v>
      </c>
      <c r="B216">
        <v>0.68</v>
      </c>
      <c r="C216">
        <v>0.53</v>
      </c>
      <c r="D216" s="2" t="str">
        <f t="shared" si="6"/>
        <v>2019/03/28 10:00:00</v>
      </c>
      <c r="F216" s="2" t="str">
        <v>2019/03/28 10:00:00</v>
      </c>
      <c r="G216">
        <f t="shared" si="7"/>
        <v>43552</v>
      </c>
    </row>
    <row r="217" spans="1:7" x14ac:dyDescent="0.25">
      <c r="A217" s="1">
        <v>43584</v>
      </c>
      <c r="B217">
        <v>0.49</v>
      </c>
      <c r="C217">
        <v>0.42</v>
      </c>
      <c r="D217" s="2" t="str">
        <f t="shared" si="6"/>
        <v>2019/04/29 09:00:00</v>
      </c>
      <c r="F217" s="2" t="str">
        <v>2019/04/29 09:00:00</v>
      </c>
      <c r="G217">
        <f t="shared" si="7"/>
        <v>43584</v>
      </c>
    </row>
    <row r="218" spans="1:7" x14ac:dyDescent="0.25">
      <c r="A218" s="1">
        <v>43613</v>
      </c>
      <c r="B218">
        <v>0.4</v>
      </c>
      <c r="C218">
        <v>0.3</v>
      </c>
      <c r="D218" s="2" t="str">
        <f t="shared" si="6"/>
        <v>2019/05/28 09:00:00</v>
      </c>
      <c r="F218" s="2" t="str">
        <v>2019/05/28 09:00:00</v>
      </c>
      <c r="G218">
        <f t="shared" si="7"/>
        <v>43613</v>
      </c>
    </row>
    <row r="219" spans="1:7" x14ac:dyDescent="0.25">
      <c r="A219" s="1">
        <v>43643</v>
      </c>
      <c r="B219">
        <v>0.27</v>
      </c>
      <c r="C219">
        <v>0.17</v>
      </c>
      <c r="D219" s="2" t="str">
        <f t="shared" si="6"/>
        <v>2019/06/27 09:00:00</v>
      </c>
      <c r="F219" s="2" t="str">
        <v>2019/06/27 09:00:00</v>
      </c>
      <c r="G219">
        <f t="shared" si="7"/>
        <v>43643</v>
      </c>
    </row>
    <row r="220" spans="1:7" x14ac:dyDescent="0.25">
      <c r="A220" s="1">
        <v>43676</v>
      </c>
      <c r="B220">
        <v>0.08</v>
      </c>
      <c r="C220">
        <v>-0.12</v>
      </c>
      <c r="D220" s="2" t="str">
        <f t="shared" si="6"/>
        <v>2019/07/30 09:00:00</v>
      </c>
      <c r="F220" s="2" t="str">
        <v>2019/07/30 09:00:00</v>
      </c>
      <c r="G220">
        <f t="shared" si="7"/>
        <v>43676</v>
      </c>
    </row>
    <row r="221" spans="1:7" x14ac:dyDescent="0.25">
      <c r="A221" s="1">
        <v>43706</v>
      </c>
      <c r="B221">
        <v>-0.14000000000000001</v>
      </c>
      <c r="C221">
        <v>0.11</v>
      </c>
      <c r="D221" s="2" t="str">
        <f t="shared" si="6"/>
        <v>2019/08/29 09:00:00</v>
      </c>
      <c r="F221" s="2" t="str">
        <v>2019/08/29 09:00:00</v>
      </c>
      <c r="G221">
        <f t="shared" si="7"/>
        <v>43706</v>
      </c>
    </row>
    <row r="222" spans="1:7" x14ac:dyDescent="0.25">
      <c r="A222" s="1">
        <v>43735</v>
      </c>
      <c r="B222">
        <v>0.11</v>
      </c>
      <c r="C222">
        <v>-0.22</v>
      </c>
      <c r="D222" s="2" t="str">
        <f t="shared" si="6"/>
        <v>2019/09/27 09:00:00</v>
      </c>
      <c r="F222" s="2" t="str">
        <v>2019/09/27 09:00:00</v>
      </c>
      <c r="G222">
        <f t="shared" si="7"/>
        <v>43735</v>
      </c>
    </row>
    <row r="223" spans="1:7" x14ac:dyDescent="0.25">
      <c r="A223" s="1">
        <v>43768</v>
      </c>
      <c r="B223">
        <v>-0.24</v>
      </c>
      <c r="C223">
        <v>-0.19</v>
      </c>
      <c r="D223" s="2" t="str">
        <f t="shared" si="6"/>
        <v>2019/10/30 10:00:00</v>
      </c>
      <c r="F223" s="2" t="str">
        <v>2019/10/30 10:00:00</v>
      </c>
      <c r="G223">
        <f t="shared" si="7"/>
        <v>43768</v>
      </c>
    </row>
    <row r="224" spans="1:7" x14ac:dyDescent="0.25">
      <c r="A224" s="1">
        <v>43797</v>
      </c>
      <c r="B224">
        <v>-0.14000000000000001</v>
      </c>
      <c r="C224">
        <v>-0.23</v>
      </c>
      <c r="D224" s="2" t="str">
        <f t="shared" si="6"/>
        <v>2019/11/28 10:00:00</v>
      </c>
      <c r="F224" s="2" t="str">
        <v>2019/11/28 10:00:00</v>
      </c>
      <c r="G224">
        <f t="shared" si="7"/>
        <v>43797</v>
      </c>
    </row>
    <row r="225" spans="1:7" x14ac:dyDescent="0.25">
      <c r="A225" s="1">
        <v>43838</v>
      </c>
      <c r="B225">
        <v>-0.18</v>
      </c>
      <c r="C225">
        <v>-0.25</v>
      </c>
      <c r="D225" s="2" t="str">
        <f t="shared" si="6"/>
        <v>2020/01/08 10:00:00</v>
      </c>
      <c r="F225" s="2" t="str">
        <v>2020/01/08 10:00:00</v>
      </c>
      <c r="G225">
        <f t="shared" si="7"/>
        <v>43838</v>
      </c>
    </row>
    <row r="226" spans="1:7" x14ac:dyDescent="0.25">
      <c r="A226" s="1"/>
    </row>
    <row r="227" spans="1:7" x14ac:dyDescent="0.25">
      <c r="A227" s="1"/>
    </row>
    <row r="228" spans="1:7" x14ac:dyDescent="0.25">
      <c r="A228" s="1"/>
    </row>
    <row r="229" spans="1:7" x14ac:dyDescent="0.25">
      <c r="A229" s="1"/>
    </row>
    <row r="230" spans="1:7" x14ac:dyDescent="0.25">
      <c r="A230" s="1"/>
    </row>
    <row r="231" spans="1:7" x14ac:dyDescent="0.25">
      <c r="A231" s="1"/>
    </row>
    <row r="232" spans="1:7" x14ac:dyDescent="0.25">
      <c r="A232" s="1"/>
    </row>
    <row r="233" spans="1:7" x14ac:dyDescent="0.25">
      <c r="A233" s="1"/>
    </row>
    <row r="234" spans="1:7" x14ac:dyDescent="0.25">
      <c r="A234" s="1"/>
    </row>
    <row r="235" spans="1:7" x14ac:dyDescent="0.25">
      <c r="A235" s="1"/>
    </row>
    <row r="236" spans="1:7" x14ac:dyDescent="0.25">
      <c r="A236" s="1"/>
    </row>
    <row r="237" spans="1:7" x14ac:dyDescent="0.25">
      <c r="A237" s="1"/>
    </row>
    <row r="238" spans="1:7" x14ac:dyDescent="0.25">
      <c r="A238" s="1"/>
    </row>
    <row r="239" spans="1:7" x14ac:dyDescent="0.25">
      <c r="A239" s="1"/>
    </row>
    <row r="240" spans="1:7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92E7-0A09-4252-93B9-4E48EEE3AB29}">
  <dimension ref="A1:G293"/>
  <sheetViews>
    <sheetView tabSelected="1" workbookViewId="0">
      <selection activeCell="F2" sqref="F2"/>
    </sheetView>
  </sheetViews>
  <sheetFormatPr defaultRowHeight="15" x14ac:dyDescent="0.25"/>
  <cols>
    <col min="1" max="1" width="20.28515625" bestFit="1" customWidth="1"/>
    <col min="2" max="2" width="6" bestFit="1" customWidth="1"/>
    <col min="3" max="3" width="5.85546875" bestFit="1" customWidth="1"/>
    <col min="4" max="4" width="17.7109375" bestFit="1" customWidth="1"/>
    <col min="5" max="5" width="18.140625" customWidth="1"/>
    <col min="6" max="6" width="20.28515625" bestFit="1" customWidth="1"/>
    <col min="7" max="7" width="6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s="1" cm="1">
        <f t="array" ref="A2:C277">_xll.BDH("EURR002W Index", "BN_SURVEY_MEDIAN, ACTUAL_RELEASE", "2000-01-01", "2026-03-19", "RELEASE_DATE_OVERRIDE", "1")</f>
        <v>36671</v>
      </c>
      <c r="B2" t="str">
        <v>#N/A N/A</v>
      </c>
      <c r="C2">
        <v>3.75</v>
      </c>
      <c r="D2" s="2" t="str">
        <f t="shared" ref="D2:D65" si="0">IFERROR(_xlfn.XLOOKUP(A2,$G:$G,$F:$F,""),"")</f>
        <v>2000/05/25 11:45:00</v>
      </c>
      <c r="F2" s="2" t="str" cm="1">
        <f t="array" ref="F2:F293">_xll.BDS("EURR002W Index","ECO_FUTURE_RELEASE_DATE_LIST","START_DT=20000101","END_DT=20260319")</f>
        <v>2000/01/05 12:45:00</v>
      </c>
      <c r="G2">
        <f t="shared" ref="G2:G65" si="1">IFERROR(INT(F2),"")</f>
        <v>36530</v>
      </c>
    </row>
    <row r="3" spans="1:7" x14ac:dyDescent="0.25">
      <c r="A3" s="1">
        <v>36804</v>
      </c>
      <c r="B3">
        <v>4.5</v>
      </c>
      <c r="C3">
        <v>4.75</v>
      </c>
      <c r="D3" s="2" t="str">
        <f t="shared" si="0"/>
        <v>2000/10/05 11:45:00</v>
      </c>
      <c r="F3" s="2" t="str">
        <v>2000/01/20 12:45:00</v>
      </c>
      <c r="G3">
        <f t="shared" si="1"/>
        <v>36545</v>
      </c>
    </row>
    <row r="4" spans="1:7" x14ac:dyDescent="0.25">
      <c r="A4" s="1">
        <v>36818</v>
      </c>
      <c r="B4">
        <v>4.75</v>
      </c>
      <c r="C4">
        <v>4.75</v>
      </c>
      <c r="D4" s="2" t="str">
        <f t="shared" si="0"/>
        <v>2000/10/19 11:45:00</v>
      </c>
      <c r="F4" s="2" t="str">
        <v>2000/02/03 12:45:00</v>
      </c>
      <c r="G4">
        <f t="shared" si="1"/>
        <v>36559</v>
      </c>
    </row>
    <row r="5" spans="1:7" x14ac:dyDescent="0.25">
      <c r="A5" s="1">
        <v>36832</v>
      </c>
      <c r="B5">
        <v>4.75</v>
      </c>
      <c r="C5">
        <v>4.75</v>
      </c>
      <c r="D5" s="2" t="str">
        <f t="shared" si="0"/>
        <v>2000/11/02 12:45:00</v>
      </c>
      <c r="F5" s="2" t="str">
        <v>2000/02/17 12:45:00</v>
      </c>
      <c r="G5">
        <f t="shared" si="1"/>
        <v>36573</v>
      </c>
    </row>
    <row r="6" spans="1:7" x14ac:dyDescent="0.25">
      <c r="A6" s="1">
        <v>36846</v>
      </c>
      <c r="B6">
        <v>4.75</v>
      </c>
      <c r="C6">
        <v>4.75</v>
      </c>
      <c r="D6" s="2" t="str">
        <f t="shared" si="0"/>
        <v>2000/11/16 12:45:00</v>
      </c>
      <c r="F6" s="2" t="str">
        <v>2000/03/02 12:45:00</v>
      </c>
      <c r="G6">
        <f t="shared" si="1"/>
        <v>36587</v>
      </c>
    </row>
    <row r="7" spans="1:7" x14ac:dyDescent="0.25">
      <c r="A7" s="1">
        <v>36860</v>
      </c>
      <c r="B7">
        <v>4.75</v>
      </c>
      <c r="C7">
        <v>4.75</v>
      </c>
      <c r="D7" s="2" t="str">
        <f t="shared" si="0"/>
        <v>2000/11/30 12:45:00</v>
      </c>
      <c r="F7" s="2" t="str">
        <v>2000/03/16 12:44:00</v>
      </c>
      <c r="G7">
        <f t="shared" si="1"/>
        <v>36601</v>
      </c>
    </row>
    <row r="8" spans="1:7" x14ac:dyDescent="0.25">
      <c r="A8" s="1">
        <v>36874</v>
      </c>
      <c r="B8">
        <v>4.75</v>
      </c>
      <c r="C8">
        <v>4.75</v>
      </c>
      <c r="D8" s="2" t="str">
        <f t="shared" si="0"/>
        <v>2000/12/14 12:45:00</v>
      </c>
      <c r="F8" s="2" t="str">
        <v>2000/03/30 11:45:00</v>
      </c>
      <c r="G8">
        <f t="shared" si="1"/>
        <v>36615</v>
      </c>
    </row>
    <row r="9" spans="1:7" x14ac:dyDescent="0.25">
      <c r="A9" s="1">
        <v>36895</v>
      </c>
      <c r="B9" t="str">
        <v>#N/A N/A</v>
      </c>
      <c r="C9">
        <v>4.75</v>
      </c>
      <c r="D9" s="2" t="str">
        <f t="shared" si="0"/>
        <v>2001/01/04 12:45:00</v>
      </c>
      <c r="F9" s="2" t="str">
        <v>2000/04/13 11:45:00</v>
      </c>
      <c r="G9">
        <f t="shared" si="1"/>
        <v>36629</v>
      </c>
    </row>
    <row r="10" spans="1:7" x14ac:dyDescent="0.25">
      <c r="A10" s="1">
        <v>36909</v>
      </c>
      <c r="B10">
        <v>4.75</v>
      </c>
      <c r="C10">
        <v>4.75</v>
      </c>
      <c r="D10" s="2" t="str">
        <f t="shared" si="0"/>
        <v>2001/01/18 12:45:00</v>
      </c>
      <c r="F10" s="2" t="str">
        <v>2000/04/27 11:45:00</v>
      </c>
      <c r="G10">
        <f t="shared" si="1"/>
        <v>36643</v>
      </c>
    </row>
    <row r="11" spans="1:7" x14ac:dyDescent="0.25">
      <c r="A11" s="1">
        <v>36923</v>
      </c>
      <c r="B11">
        <v>4.5</v>
      </c>
      <c r="C11">
        <v>4.75</v>
      </c>
      <c r="D11" s="2" t="str">
        <f t="shared" si="0"/>
        <v>2001/02/01 12:45:00</v>
      </c>
      <c r="F11" s="2" t="str">
        <v>2000/05/11 11:45:00</v>
      </c>
      <c r="G11">
        <f t="shared" si="1"/>
        <v>36657</v>
      </c>
    </row>
    <row r="12" spans="1:7" x14ac:dyDescent="0.25">
      <c r="A12" s="1">
        <v>36937</v>
      </c>
      <c r="B12">
        <v>4.75</v>
      </c>
      <c r="C12">
        <v>4.75</v>
      </c>
      <c r="D12" s="2" t="str">
        <f t="shared" si="0"/>
        <v>2001/02/15 12:45:00</v>
      </c>
      <c r="F12" s="2" t="str">
        <v>2000/05/25 11:45:00</v>
      </c>
      <c r="G12">
        <f t="shared" si="1"/>
        <v>36671</v>
      </c>
    </row>
    <row r="13" spans="1:7" x14ac:dyDescent="0.25">
      <c r="A13" s="1">
        <v>36951</v>
      </c>
      <c r="B13">
        <v>4.75</v>
      </c>
      <c r="C13">
        <v>4.75</v>
      </c>
      <c r="D13" s="2" t="str">
        <f t="shared" si="0"/>
        <v>2001/03/01 12:44:00</v>
      </c>
      <c r="F13" s="2" t="str">
        <v>2000/06/08 11:45:00</v>
      </c>
      <c r="G13">
        <f t="shared" si="1"/>
        <v>36685</v>
      </c>
    </row>
    <row r="14" spans="1:7" x14ac:dyDescent="0.25">
      <c r="A14" s="1">
        <v>36965</v>
      </c>
      <c r="B14">
        <v>4.75</v>
      </c>
      <c r="C14">
        <v>4.75</v>
      </c>
      <c r="D14" s="2" t="str">
        <f t="shared" si="0"/>
        <v>2001/03/15 12:44:00</v>
      </c>
      <c r="F14" s="2" t="str">
        <v>2000/06/21 11:45:00</v>
      </c>
      <c r="G14">
        <f t="shared" si="1"/>
        <v>36698</v>
      </c>
    </row>
    <row r="15" spans="1:7" x14ac:dyDescent="0.25">
      <c r="A15" s="1">
        <v>36979</v>
      </c>
      <c r="B15">
        <v>4.75</v>
      </c>
      <c r="C15">
        <v>4.75</v>
      </c>
      <c r="D15" s="2" t="str">
        <f t="shared" si="0"/>
        <v>2001/03/29 11:44:00</v>
      </c>
      <c r="F15" s="2" t="str">
        <v>2000/07/06 11:45:00</v>
      </c>
      <c r="G15">
        <f t="shared" si="1"/>
        <v>36713</v>
      </c>
    </row>
    <row r="16" spans="1:7" x14ac:dyDescent="0.25">
      <c r="A16" s="1">
        <v>36992</v>
      </c>
      <c r="B16">
        <v>4.5</v>
      </c>
      <c r="C16">
        <v>4.75</v>
      </c>
      <c r="D16" s="2" t="str">
        <f t="shared" si="0"/>
        <v>2001/04/11 11:46:00</v>
      </c>
      <c r="F16" s="2" t="str">
        <v>2000/07/20 11:45:00</v>
      </c>
      <c r="G16">
        <f t="shared" si="1"/>
        <v>36727</v>
      </c>
    </row>
    <row r="17" spans="1:7" x14ac:dyDescent="0.25">
      <c r="A17" s="1">
        <v>37007</v>
      </c>
      <c r="B17">
        <v>4.75</v>
      </c>
      <c r="C17">
        <v>4.75</v>
      </c>
      <c r="D17" s="2" t="str">
        <f t="shared" si="0"/>
        <v>2001/04/26 11:45:00</v>
      </c>
      <c r="F17" s="2" t="str">
        <v>2000/08/03 11:45:00</v>
      </c>
      <c r="G17">
        <f t="shared" si="1"/>
        <v>36741</v>
      </c>
    </row>
    <row r="18" spans="1:7" x14ac:dyDescent="0.25">
      <c r="A18" s="1">
        <v>37021</v>
      </c>
      <c r="B18">
        <v>4.75</v>
      </c>
      <c r="C18">
        <v>4.5</v>
      </c>
      <c r="D18" s="2" t="str">
        <f t="shared" si="0"/>
        <v>2001/05/10 11:45:00</v>
      </c>
      <c r="F18" s="2" t="str">
        <v>2000/08/31 11:45:00</v>
      </c>
      <c r="G18">
        <f t="shared" si="1"/>
        <v>36769</v>
      </c>
    </row>
    <row r="19" spans="1:7" x14ac:dyDescent="0.25">
      <c r="A19" s="1">
        <v>37034</v>
      </c>
      <c r="B19">
        <v>4.5</v>
      </c>
      <c r="C19">
        <v>4.5</v>
      </c>
      <c r="D19" s="2" t="str">
        <f t="shared" si="0"/>
        <v>2001/05/23 11:45:00</v>
      </c>
      <c r="F19" s="2" t="str">
        <v>2000/10/05 11:45:00</v>
      </c>
      <c r="G19">
        <f t="shared" si="1"/>
        <v>36804</v>
      </c>
    </row>
    <row r="20" spans="1:7" x14ac:dyDescent="0.25">
      <c r="A20" s="1">
        <v>37049</v>
      </c>
      <c r="B20">
        <v>4.5</v>
      </c>
      <c r="C20" t="str">
        <v>#N/A N/A</v>
      </c>
      <c r="D20" s="2" t="str">
        <f t="shared" si="0"/>
        <v>2001/06/07 11:45:00</v>
      </c>
      <c r="F20" s="2" t="str">
        <v>2000/10/19 11:45:00</v>
      </c>
      <c r="G20">
        <f t="shared" si="1"/>
        <v>36818</v>
      </c>
    </row>
    <row r="21" spans="1:7" x14ac:dyDescent="0.25">
      <c r="A21" s="1">
        <v>37063</v>
      </c>
      <c r="B21">
        <v>4.5</v>
      </c>
      <c r="C21" t="str">
        <v>#N/A N/A</v>
      </c>
      <c r="D21" s="2" t="str">
        <f t="shared" si="0"/>
        <v>2001/06/21 11:45:00</v>
      </c>
      <c r="F21" s="2" t="str">
        <v>2000/11/02 12:45:00</v>
      </c>
      <c r="G21">
        <f t="shared" si="1"/>
        <v>36832</v>
      </c>
    </row>
    <row r="22" spans="1:7" x14ac:dyDescent="0.25">
      <c r="A22" s="1">
        <v>37077</v>
      </c>
      <c r="B22">
        <v>4.5</v>
      </c>
      <c r="C22">
        <v>4.5</v>
      </c>
      <c r="D22" s="2" t="str">
        <f t="shared" si="0"/>
        <v>2001/07/05 11:45:00</v>
      </c>
      <c r="F22" s="2" t="str">
        <v>2000/11/16 12:45:00</v>
      </c>
      <c r="G22">
        <f t="shared" si="1"/>
        <v>36846</v>
      </c>
    </row>
    <row r="23" spans="1:7" x14ac:dyDescent="0.25">
      <c r="A23" s="1">
        <v>37105</v>
      </c>
      <c r="B23">
        <v>4.5</v>
      </c>
      <c r="C23">
        <v>4.5</v>
      </c>
      <c r="D23" s="2" t="str">
        <f t="shared" si="0"/>
        <v>2001/08/02 11:46:00</v>
      </c>
      <c r="F23" s="2" t="str">
        <v>2000/11/30 12:45:00</v>
      </c>
      <c r="G23">
        <f t="shared" si="1"/>
        <v>36860</v>
      </c>
    </row>
    <row r="24" spans="1:7" x14ac:dyDescent="0.25">
      <c r="A24" s="1">
        <v>37133</v>
      </c>
      <c r="B24">
        <v>4.25</v>
      </c>
      <c r="C24">
        <v>4.25</v>
      </c>
      <c r="D24" s="2" t="str">
        <f t="shared" si="0"/>
        <v>2001/08/30 11:45:00</v>
      </c>
      <c r="F24" s="2" t="str">
        <v>2000/12/14 12:45:00</v>
      </c>
      <c r="G24">
        <f t="shared" si="1"/>
        <v>36874</v>
      </c>
    </row>
    <row r="25" spans="1:7" x14ac:dyDescent="0.25">
      <c r="A25" s="1">
        <v>37151</v>
      </c>
      <c r="B25">
        <v>4.25</v>
      </c>
      <c r="C25">
        <v>3.75</v>
      </c>
      <c r="D25" s="2" t="str">
        <f t="shared" si="0"/>
        <v>2001/09/17 15:30:00</v>
      </c>
      <c r="F25" s="2" t="str">
        <v>2001/01/04 12:45:00</v>
      </c>
      <c r="G25">
        <f t="shared" si="1"/>
        <v>36895</v>
      </c>
    </row>
    <row r="26" spans="1:7" x14ac:dyDescent="0.25">
      <c r="A26" s="1">
        <v>37161</v>
      </c>
      <c r="B26">
        <v>3.75</v>
      </c>
      <c r="C26">
        <v>3.75</v>
      </c>
      <c r="D26" s="2" t="str">
        <f t="shared" si="0"/>
        <v>2001/09/27 11:45:00</v>
      </c>
      <c r="F26" s="2" t="str">
        <v>2001/01/18 12:45:00</v>
      </c>
      <c r="G26">
        <f t="shared" si="1"/>
        <v>36909</v>
      </c>
    </row>
    <row r="27" spans="1:7" x14ac:dyDescent="0.25">
      <c r="A27" s="1">
        <v>37175</v>
      </c>
      <c r="B27">
        <v>3.75</v>
      </c>
      <c r="C27">
        <v>3.75</v>
      </c>
      <c r="D27" s="2" t="str">
        <f t="shared" si="0"/>
        <v>2001/10/11 11:45:00</v>
      </c>
      <c r="F27" s="2" t="str">
        <v>2001/02/01 12:45:00</v>
      </c>
      <c r="G27">
        <f t="shared" si="1"/>
        <v>36923</v>
      </c>
    </row>
    <row r="28" spans="1:7" x14ac:dyDescent="0.25">
      <c r="A28" s="1">
        <v>37189</v>
      </c>
      <c r="B28">
        <v>3.5</v>
      </c>
      <c r="C28">
        <v>3.75</v>
      </c>
      <c r="D28" s="2" t="str">
        <f t="shared" si="0"/>
        <v>2001/10/25 11:46:00</v>
      </c>
      <c r="F28" s="2" t="str">
        <v>2001/02/15 12:45:00</v>
      </c>
      <c r="G28">
        <f t="shared" si="1"/>
        <v>36937</v>
      </c>
    </row>
    <row r="29" spans="1:7" x14ac:dyDescent="0.25">
      <c r="A29" s="1">
        <v>37203</v>
      </c>
      <c r="B29">
        <v>3.5</v>
      </c>
      <c r="C29">
        <v>3.25</v>
      </c>
      <c r="D29" s="2" t="str">
        <f t="shared" si="0"/>
        <v>2001/11/08 12:45:00</v>
      </c>
      <c r="F29" s="2" t="str">
        <v>2001/03/01 12:44:00</v>
      </c>
      <c r="G29">
        <f t="shared" si="1"/>
        <v>36951</v>
      </c>
    </row>
    <row r="30" spans="1:7" x14ac:dyDescent="0.25">
      <c r="A30" s="1">
        <v>37231</v>
      </c>
      <c r="B30">
        <v>3.25</v>
      </c>
      <c r="C30">
        <v>3.25</v>
      </c>
      <c r="D30" s="2" t="str">
        <f t="shared" si="0"/>
        <v>2001/12/06 12:45:00</v>
      </c>
      <c r="F30" s="2" t="str">
        <v>2001/03/15 12:44:00</v>
      </c>
      <c r="G30">
        <f t="shared" si="1"/>
        <v>36965</v>
      </c>
    </row>
    <row r="31" spans="1:7" x14ac:dyDescent="0.25">
      <c r="A31" s="1">
        <v>37259</v>
      </c>
      <c r="B31">
        <v>3.25</v>
      </c>
      <c r="C31">
        <v>3.25</v>
      </c>
      <c r="D31" s="2" t="str">
        <f t="shared" si="0"/>
        <v>2002/01/03 12:45:00</v>
      </c>
      <c r="F31" s="2" t="str">
        <v>2001/03/29 11:44:00</v>
      </c>
      <c r="G31">
        <f t="shared" si="1"/>
        <v>36979</v>
      </c>
    </row>
    <row r="32" spans="1:7" x14ac:dyDescent="0.25">
      <c r="A32" s="1">
        <v>37294</v>
      </c>
      <c r="B32">
        <v>3.25</v>
      </c>
      <c r="C32">
        <v>3.25</v>
      </c>
      <c r="D32" s="2" t="str">
        <f t="shared" si="0"/>
        <v>2002/02/07 12:46:00</v>
      </c>
      <c r="F32" s="2" t="str">
        <v>2001/04/11 11:46:00</v>
      </c>
      <c r="G32">
        <f t="shared" si="1"/>
        <v>36992</v>
      </c>
    </row>
    <row r="33" spans="1:7" x14ac:dyDescent="0.25">
      <c r="A33" s="1">
        <v>37322</v>
      </c>
      <c r="B33">
        <v>3.25</v>
      </c>
      <c r="C33">
        <v>3.25</v>
      </c>
      <c r="D33" s="2" t="str">
        <f t="shared" si="0"/>
        <v>2002/03/07 12:45:00</v>
      </c>
      <c r="F33" s="2" t="str">
        <v>2001/04/26 11:45:00</v>
      </c>
      <c r="G33">
        <f t="shared" si="1"/>
        <v>37007</v>
      </c>
    </row>
    <row r="34" spans="1:7" x14ac:dyDescent="0.25">
      <c r="A34" s="1">
        <v>37350</v>
      </c>
      <c r="B34">
        <v>3.25</v>
      </c>
      <c r="C34">
        <v>3.25</v>
      </c>
      <c r="D34" s="2" t="str">
        <f t="shared" si="0"/>
        <v>2002/04/04 11:46:00</v>
      </c>
      <c r="F34" s="2" t="str">
        <v>2001/05/10 11:45:00</v>
      </c>
      <c r="G34">
        <f t="shared" si="1"/>
        <v>37021</v>
      </c>
    </row>
    <row r="35" spans="1:7" x14ac:dyDescent="0.25">
      <c r="A35" s="1">
        <v>37378</v>
      </c>
      <c r="B35">
        <v>3.25</v>
      </c>
      <c r="C35">
        <v>3.25</v>
      </c>
      <c r="D35" s="2" t="str">
        <f t="shared" si="0"/>
        <v>2002/05/02 11:45:00</v>
      </c>
      <c r="F35" s="2" t="str">
        <v>2001/05/23 11:45:00</v>
      </c>
      <c r="G35">
        <f t="shared" si="1"/>
        <v>37034</v>
      </c>
    </row>
    <row r="36" spans="1:7" x14ac:dyDescent="0.25">
      <c r="A36" s="1">
        <v>37413</v>
      </c>
      <c r="B36">
        <v>3.25</v>
      </c>
      <c r="C36">
        <v>3.25</v>
      </c>
      <c r="D36" s="2" t="str">
        <f t="shared" si="0"/>
        <v>2002/06/06 11:45:00</v>
      </c>
      <c r="F36" s="2" t="str">
        <v>2001/06/07 11:45:00</v>
      </c>
      <c r="G36">
        <f t="shared" si="1"/>
        <v>37049</v>
      </c>
    </row>
    <row r="37" spans="1:7" x14ac:dyDescent="0.25">
      <c r="A37" s="1">
        <v>37441</v>
      </c>
      <c r="B37" t="str">
        <v>#N/A N/A</v>
      </c>
      <c r="C37">
        <v>3.25</v>
      </c>
      <c r="D37" s="2" t="str">
        <f t="shared" si="0"/>
        <v>2002/07/04 11:45:00</v>
      </c>
      <c r="F37" s="2" t="str">
        <v>2001/06/21 11:45:00</v>
      </c>
      <c r="G37">
        <f t="shared" si="1"/>
        <v>37063</v>
      </c>
    </row>
    <row r="38" spans="1:7" x14ac:dyDescent="0.25">
      <c r="A38" s="1">
        <v>37469</v>
      </c>
      <c r="B38">
        <v>3.25</v>
      </c>
      <c r="C38">
        <v>3.25</v>
      </c>
      <c r="D38" s="2" t="str">
        <f t="shared" si="0"/>
        <v>2002/08/01 11:45:00</v>
      </c>
      <c r="F38" s="2" t="str">
        <v>2001/07/05 11:45:00</v>
      </c>
      <c r="G38">
        <f t="shared" si="1"/>
        <v>37077</v>
      </c>
    </row>
    <row r="39" spans="1:7" x14ac:dyDescent="0.25">
      <c r="A39" s="1">
        <v>37511</v>
      </c>
      <c r="B39">
        <v>3.25</v>
      </c>
      <c r="C39">
        <v>3.25</v>
      </c>
      <c r="D39" s="2" t="str">
        <f t="shared" si="0"/>
        <v>2002/09/12 11:45:00</v>
      </c>
      <c r="F39" s="2" t="str">
        <v>2001/08/02 11:46:00</v>
      </c>
      <c r="G39">
        <f t="shared" si="1"/>
        <v>37105</v>
      </c>
    </row>
    <row r="40" spans="1:7" x14ac:dyDescent="0.25">
      <c r="A40" s="1">
        <v>37539</v>
      </c>
      <c r="B40">
        <v>3.25</v>
      </c>
      <c r="C40">
        <v>3.25</v>
      </c>
      <c r="D40" s="2" t="str">
        <f t="shared" si="0"/>
        <v>2002/10/10 11:45:00</v>
      </c>
      <c r="F40" s="2" t="str">
        <v>2001/08/30 11:45:00</v>
      </c>
      <c r="G40">
        <f t="shared" si="1"/>
        <v>37133</v>
      </c>
    </row>
    <row r="41" spans="1:7" x14ac:dyDescent="0.25">
      <c r="A41" s="1">
        <v>37567</v>
      </c>
      <c r="B41">
        <v>3.25</v>
      </c>
      <c r="C41">
        <v>3.25</v>
      </c>
      <c r="D41" s="2" t="str">
        <f t="shared" si="0"/>
        <v>2002/11/07 12:45:00</v>
      </c>
      <c r="F41" s="2" t="str">
        <v>2001/09/17 15:30:00</v>
      </c>
      <c r="G41">
        <f t="shared" si="1"/>
        <v>37151</v>
      </c>
    </row>
    <row r="42" spans="1:7" x14ac:dyDescent="0.25">
      <c r="A42" s="1">
        <v>37595</v>
      </c>
      <c r="B42">
        <v>2.75</v>
      </c>
      <c r="C42">
        <v>2.75</v>
      </c>
      <c r="D42" s="2" t="str">
        <f t="shared" si="0"/>
        <v>2002/12/05 12:45:00</v>
      </c>
      <c r="F42" s="2" t="str">
        <v>2001/09/27 11:45:00</v>
      </c>
      <c r="G42">
        <f t="shared" si="1"/>
        <v>37161</v>
      </c>
    </row>
    <row r="43" spans="1:7" x14ac:dyDescent="0.25">
      <c r="A43" s="1">
        <v>37630</v>
      </c>
      <c r="B43">
        <v>2.75</v>
      </c>
      <c r="C43">
        <v>2.75</v>
      </c>
      <c r="D43" s="2" t="str">
        <f t="shared" si="0"/>
        <v>2003/01/09 12:45:00</v>
      </c>
      <c r="F43" s="2" t="str">
        <v>2001/10/11 11:45:00</v>
      </c>
      <c r="G43">
        <f t="shared" si="1"/>
        <v>37175</v>
      </c>
    </row>
    <row r="44" spans="1:7" x14ac:dyDescent="0.25">
      <c r="A44" s="1">
        <v>37658</v>
      </c>
      <c r="B44">
        <v>2.75</v>
      </c>
      <c r="C44">
        <v>2.75</v>
      </c>
      <c r="D44" s="2" t="str">
        <f t="shared" si="0"/>
        <v>2003/02/06 12:45:00</v>
      </c>
      <c r="F44" s="2" t="str">
        <v>2001/10/25 11:46:00</v>
      </c>
      <c r="G44">
        <f t="shared" si="1"/>
        <v>37189</v>
      </c>
    </row>
    <row r="45" spans="1:7" x14ac:dyDescent="0.25">
      <c r="A45" s="1">
        <v>37686</v>
      </c>
      <c r="B45">
        <v>2.25</v>
      </c>
      <c r="C45">
        <v>2.5</v>
      </c>
      <c r="D45" s="2" t="str">
        <f t="shared" si="0"/>
        <v>2003/03/06 12:45:00</v>
      </c>
      <c r="F45" s="2" t="str">
        <v>2001/11/08 12:45:00</v>
      </c>
      <c r="G45">
        <f t="shared" si="1"/>
        <v>37203</v>
      </c>
    </row>
    <row r="46" spans="1:7" x14ac:dyDescent="0.25">
      <c r="A46" s="1">
        <v>37714</v>
      </c>
      <c r="B46">
        <v>2.5</v>
      </c>
      <c r="C46">
        <v>2.5</v>
      </c>
      <c r="D46" s="2" t="str">
        <f t="shared" si="0"/>
        <v>2003/04/03 11:45:00</v>
      </c>
      <c r="F46" s="2" t="str">
        <v>2001/12/06 12:45:00</v>
      </c>
      <c r="G46">
        <f t="shared" si="1"/>
        <v>37231</v>
      </c>
    </row>
    <row r="47" spans="1:7" x14ac:dyDescent="0.25">
      <c r="A47" s="1">
        <v>37749</v>
      </c>
      <c r="B47">
        <v>2.5</v>
      </c>
      <c r="C47">
        <v>2.5</v>
      </c>
      <c r="D47" s="2" t="str">
        <f t="shared" si="0"/>
        <v>2003/05/08 11:45:00</v>
      </c>
      <c r="F47" s="2" t="str">
        <v>2002/01/03 12:45:00</v>
      </c>
      <c r="G47">
        <f t="shared" si="1"/>
        <v>37259</v>
      </c>
    </row>
    <row r="48" spans="1:7" x14ac:dyDescent="0.25">
      <c r="A48" s="1">
        <v>37777</v>
      </c>
      <c r="B48">
        <v>2</v>
      </c>
      <c r="C48">
        <v>2</v>
      </c>
      <c r="D48" s="2" t="str">
        <f t="shared" si="0"/>
        <v>2003/06/05 11:45:00</v>
      </c>
      <c r="F48" s="2" t="str">
        <v>2002/02/07 12:46:00</v>
      </c>
      <c r="G48">
        <f t="shared" si="1"/>
        <v>37294</v>
      </c>
    </row>
    <row r="49" spans="1:7" x14ac:dyDescent="0.25">
      <c r="A49" s="1">
        <v>37812</v>
      </c>
      <c r="B49">
        <v>2</v>
      </c>
      <c r="C49">
        <v>2</v>
      </c>
      <c r="D49" s="2" t="str">
        <f t="shared" si="0"/>
        <v>2003/07/10 11:45:00</v>
      </c>
      <c r="F49" s="2" t="str">
        <v>2002/03/07 12:45:00</v>
      </c>
      <c r="G49">
        <f t="shared" si="1"/>
        <v>37322</v>
      </c>
    </row>
    <row r="50" spans="1:7" x14ac:dyDescent="0.25">
      <c r="A50" s="1">
        <v>37833</v>
      </c>
      <c r="B50">
        <v>2</v>
      </c>
      <c r="C50">
        <v>2</v>
      </c>
      <c r="D50" s="2" t="str">
        <f t="shared" si="0"/>
        <v>2003/07/31 11:45:00</v>
      </c>
      <c r="F50" s="2" t="str">
        <v>2002/04/04 11:46:00</v>
      </c>
      <c r="G50">
        <f t="shared" si="1"/>
        <v>37350</v>
      </c>
    </row>
    <row r="51" spans="1:7" x14ac:dyDescent="0.25">
      <c r="A51" s="1">
        <v>37868</v>
      </c>
      <c r="B51">
        <v>2</v>
      </c>
      <c r="C51">
        <v>2</v>
      </c>
      <c r="D51" s="2" t="str">
        <f t="shared" si="0"/>
        <v>2003/09/04 11:45:00</v>
      </c>
      <c r="F51" s="2" t="str">
        <v>2002/05/02 11:45:00</v>
      </c>
      <c r="G51">
        <f t="shared" si="1"/>
        <v>37378</v>
      </c>
    </row>
    <row r="52" spans="1:7" x14ac:dyDescent="0.25">
      <c r="A52" s="1">
        <v>37896</v>
      </c>
      <c r="B52">
        <v>2</v>
      </c>
      <c r="C52">
        <v>2</v>
      </c>
      <c r="D52" s="2" t="str">
        <f t="shared" si="0"/>
        <v>2003/10/02 11:45:00</v>
      </c>
      <c r="F52" s="2" t="str">
        <v>2002/06/06 11:45:00</v>
      </c>
      <c r="G52">
        <f t="shared" si="1"/>
        <v>37413</v>
      </c>
    </row>
    <row r="53" spans="1:7" x14ac:dyDescent="0.25">
      <c r="A53" s="1">
        <v>37931</v>
      </c>
      <c r="B53">
        <v>2</v>
      </c>
      <c r="C53">
        <v>2</v>
      </c>
      <c r="D53" s="2" t="str">
        <f t="shared" si="0"/>
        <v>2003/11/06 12:45:00</v>
      </c>
      <c r="F53" s="2" t="str">
        <v>2002/07/04 11:45:00</v>
      </c>
      <c r="G53">
        <f t="shared" si="1"/>
        <v>37441</v>
      </c>
    </row>
    <row r="54" spans="1:7" x14ac:dyDescent="0.25">
      <c r="A54" s="1">
        <v>37959</v>
      </c>
      <c r="B54">
        <v>2</v>
      </c>
      <c r="C54">
        <v>2</v>
      </c>
      <c r="D54" s="2" t="str">
        <f t="shared" si="0"/>
        <v>2003/12/04 12:45:00</v>
      </c>
      <c r="F54" s="2" t="str">
        <v>2002/08/01 11:45:00</v>
      </c>
      <c r="G54">
        <f t="shared" si="1"/>
        <v>37469</v>
      </c>
    </row>
    <row r="55" spans="1:7" x14ac:dyDescent="0.25">
      <c r="A55" s="1">
        <v>37994</v>
      </c>
      <c r="B55">
        <v>2</v>
      </c>
      <c r="C55">
        <v>2</v>
      </c>
      <c r="D55" s="2" t="str">
        <f t="shared" si="0"/>
        <v>2004/01/08 12:45:00</v>
      </c>
      <c r="F55" s="2" t="str">
        <v>2002/09/12 11:45:00</v>
      </c>
      <c r="G55">
        <f t="shared" si="1"/>
        <v>37511</v>
      </c>
    </row>
    <row r="56" spans="1:7" x14ac:dyDescent="0.25">
      <c r="A56" s="1">
        <v>38022</v>
      </c>
      <c r="B56">
        <v>2</v>
      </c>
      <c r="C56">
        <v>2</v>
      </c>
      <c r="D56" s="2" t="str">
        <f t="shared" si="0"/>
        <v>2004/02/05 12:45:00</v>
      </c>
      <c r="F56" s="2" t="str">
        <v>2002/10/10 11:45:00</v>
      </c>
      <c r="G56">
        <f t="shared" si="1"/>
        <v>37539</v>
      </c>
    </row>
    <row r="57" spans="1:7" x14ac:dyDescent="0.25">
      <c r="A57" s="1">
        <v>38050</v>
      </c>
      <c r="B57">
        <v>2</v>
      </c>
      <c r="C57">
        <v>2</v>
      </c>
      <c r="D57" s="2" t="str">
        <f t="shared" si="0"/>
        <v>2004/03/04 12:45:00</v>
      </c>
      <c r="F57" s="2" t="str">
        <v>2002/11/07 12:45:00</v>
      </c>
      <c r="G57">
        <f t="shared" si="1"/>
        <v>37567</v>
      </c>
    </row>
    <row r="58" spans="1:7" x14ac:dyDescent="0.25">
      <c r="A58" s="1">
        <v>38078</v>
      </c>
      <c r="B58">
        <v>2</v>
      </c>
      <c r="C58">
        <v>2</v>
      </c>
      <c r="D58" s="2" t="str">
        <f t="shared" si="0"/>
        <v>2004/04/01 11:45:00</v>
      </c>
      <c r="F58" s="2" t="str">
        <v>2002/12/05 12:45:00</v>
      </c>
      <c r="G58">
        <f t="shared" si="1"/>
        <v>37595</v>
      </c>
    </row>
    <row r="59" spans="1:7" x14ac:dyDescent="0.25">
      <c r="A59" s="1">
        <v>38113</v>
      </c>
      <c r="B59">
        <v>2</v>
      </c>
      <c r="C59">
        <v>2</v>
      </c>
      <c r="D59" s="2" t="str">
        <f t="shared" si="0"/>
        <v>2004/05/06 11:45:00</v>
      </c>
      <c r="F59" s="2" t="str">
        <v>2003/01/09 12:45:00</v>
      </c>
      <c r="G59">
        <f t="shared" si="1"/>
        <v>37630</v>
      </c>
    </row>
    <row r="60" spans="1:7" x14ac:dyDescent="0.25">
      <c r="A60" s="1">
        <v>38141</v>
      </c>
      <c r="B60">
        <v>2</v>
      </c>
      <c r="C60">
        <v>2</v>
      </c>
      <c r="D60" s="2" t="str">
        <f t="shared" si="0"/>
        <v>2004/06/03 11:45:00</v>
      </c>
      <c r="F60" s="2" t="str">
        <v>2003/02/06 12:45:00</v>
      </c>
      <c r="G60">
        <f t="shared" si="1"/>
        <v>37658</v>
      </c>
    </row>
    <row r="61" spans="1:7" x14ac:dyDescent="0.25">
      <c r="A61" s="1">
        <v>38169</v>
      </c>
      <c r="B61">
        <v>2</v>
      </c>
      <c r="C61">
        <v>2</v>
      </c>
      <c r="D61" s="2" t="str">
        <f t="shared" si="0"/>
        <v>2004/07/01 11:45:00</v>
      </c>
      <c r="F61" s="2" t="str">
        <v>2003/03/06 12:45:00</v>
      </c>
      <c r="G61">
        <f t="shared" si="1"/>
        <v>37686</v>
      </c>
    </row>
    <row r="62" spans="1:7" x14ac:dyDescent="0.25">
      <c r="A62" s="1">
        <v>38204</v>
      </c>
      <c r="B62">
        <v>2</v>
      </c>
      <c r="C62">
        <v>2</v>
      </c>
      <c r="D62" s="2" t="str">
        <f t="shared" si="0"/>
        <v>2004/08/05 11:45:00</v>
      </c>
      <c r="F62" s="2" t="str">
        <v>2003/04/03 11:45:00</v>
      </c>
      <c r="G62">
        <f t="shared" si="1"/>
        <v>37714</v>
      </c>
    </row>
    <row r="63" spans="1:7" x14ac:dyDescent="0.25">
      <c r="A63" s="1">
        <v>38232</v>
      </c>
      <c r="B63">
        <v>2</v>
      </c>
      <c r="C63">
        <v>2</v>
      </c>
      <c r="D63" s="2" t="str">
        <f t="shared" si="0"/>
        <v>2004/09/02 11:45:00</v>
      </c>
      <c r="F63" s="2" t="str">
        <v>2003/05/08 11:45:00</v>
      </c>
      <c r="G63">
        <f t="shared" si="1"/>
        <v>37749</v>
      </c>
    </row>
    <row r="64" spans="1:7" x14ac:dyDescent="0.25">
      <c r="A64" s="1">
        <v>38267</v>
      </c>
      <c r="B64">
        <v>2</v>
      </c>
      <c r="C64">
        <v>2</v>
      </c>
      <c r="D64" s="2" t="str">
        <f t="shared" si="0"/>
        <v>2004/10/07 11:45:00</v>
      </c>
      <c r="F64" s="2" t="str">
        <v>2003/06/05 11:45:00</v>
      </c>
      <c r="G64">
        <f t="shared" si="1"/>
        <v>37777</v>
      </c>
    </row>
    <row r="65" spans="1:7" x14ac:dyDescent="0.25">
      <c r="A65" s="1">
        <v>38295</v>
      </c>
      <c r="B65">
        <v>2</v>
      </c>
      <c r="C65">
        <v>2</v>
      </c>
      <c r="D65" s="2" t="str">
        <f t="shared" si="0"/>
        <v>2004/11/04 12:45:00</v>
      </c>
      <c r="F65" s="2" t="str">
        <v>2003/07/10 11:45:00</v>
      </c>
      <c r="G65">
        <f t="shared" si="1"/>
        <v>37812</v>
      </c>
    </row>
    <row r="66" spans="1:7" x14ac:dyDescent="0.25">
      <c r="A66" s="1">
        <v>38323</v>
      </c>
      <c r="B66">
        <v>2</v>
      </c>
      <c r="C66">
        <v>2</v>
      </c>
      <c r="D66" s="2" t="str">
        <f t="shared" ref="D66:D129" si="2">IFERROR(_xlfn.XLOOKUP(A66,$G:$G,$F:$F,""),"")</f>
        <v>2004/12/02 12:45:00</v>
      </c>
      <c r="F66" s="2" t="str">
        <v>2003/07/31 11:45:00</v>
      </c>
      <c r="G66">
        <f t="shared" ref="G66:G129" si="3">IFERROR(INT(F66),"")</f>
        <v>37833</v>
      </c>
    </row>
    <row r="67" spans="1:7" x14ac:dyDescent="0.25">
      <c r="A67" s="1">
        <v>38365</v>
      </c>
      <c r="B67">
        <v>2</v>
      </c>
      <c r="C67">
        <v>2</v>
      </c>
      <c r="D67" s="2" t="str">
        <f t="shared" si="2"/>
        <v>2005/01/13 12:45:00</v>
      </c>
      <c r="F67" s="2" t="str">
        <v>2003/09/04 11:45:00</v>
      </c>
      <c r="G67">
        <f t="shared" si="3"/>
        <v>37868</v>
      </c>
    </row>
    <row r="68" spans="1:7" x14ac:dyDescent="0.25">
      <c r="A68" s="1">
        <v>38386</v>
      </c>
      <c r="B68">
        <v>2</v>
      </c>
      <c r="C68">
        <v>2</v>
      </c>
      <c r="D68" s="2" t="str">
        <f t="shared" si="2"/>
        <v>2005/02/03 12:45:00</v>
      </c>
      <c r="F68" s="2" t="str">
        <v>2003/10/02 11:45:00</v>
      </c>
      <c r="G68">
        <f t="shared" si="3"/>
        <v>37896</v>
      </c>
    </row>
    <row r="69" spans="1:7" x14ac:dyDescent="0.25">
      <c r="A69" s="1">
        <v>38414</v>
      </c>
      <c r="B69">
        <v>2</v>
      </c>
      <c r="C69">
        <v>2</v>
      </c>
      <c r="D69" s="2" t="str">
        <f t="shared" si="2"/>
        <v>2005/03/03 12:45:00</v>
      </c>
      <c r="F69" s="2" t="str">
        <v>2003/11/06 12:45:00</v>
      </c>
      <c r="G69">
        <f t="shared" si="3"/>
        <v>37931</v>
      </c>
    </row>
    <row r="70" spans="1:7" x14ac:dyDescent="0.25">
      <c r="A70" s="1">
        <v>38449</v>
      </c>
      <c r="B70">
        <v>2</v>
      </c>
      <c r="C70">
        <v>2</v>
      </c>
      <c r="D70" s="2" t="str">
        <f t="shared" si="2"/>
        <v>2005/04/07 11:45:00</v>
      </c>
      <c r="F70" s="2" t="str">
        <v>2003/12/04 12:45:00</v>
      </c>
      <c r="G70">
        <f t="shared" si="3"/>
        <v>37959</v>
      </c>
    </row>
    <row r="71" spans="1:7" x14ac:dyDescent="0.25">
      <c r="A71" s="1">
        <v>38476</v>
      </c>
      <c r="B71">
        <v>2</v>
      </c>
      <c r="C71">
        <v>2</v>
      </c>
      <c r="D71" s="2" t="str">
        <f t="shared" si="2"/>
        <v>2005/05/04 11:45:00</v>
      </c>
      <c r="F71" s="2" t="str">
        <v>2004/01/08 12:45:00</v>
      </c>
      <c r="G71">
        <f t="shared" si="3"/>
        <v>37994</v>
      </c>
    </row>
    <row r="72" spans="1:7" x14ac:dyDescent="0.25">
      <c r="A72" s="1">
        <v>38505</v>
      </c>
      <c r="B72">
        <v>2</v>
      </c>
      <c r="C72">
        <v>2</v>
      </c>
      <c r="D72" s="2" t="str">
        <f t="shared" si="2"/>
        <v>2005/06/02 11:45:00</v>
      </c>
      <c r="F72" s="2" t="str">
        <v>2004/02/05 12:45:00</v>
      </c>
      <c r="G72">
        <f t="shared" si="3"/>
        <v>38022</v>
      </c>
    </row>
    <row r="73" spans="1:7" x14ac:dyDescent="0.25">
      <c r="A73" s="1">
        <v>38540</v>
      </c>
      <c r="B73">
        <v>2</v>
      </c>
      <c r="C73">
        <v>2</v>
      </c>
      <c r="D73" s="2" t="str">
        <f t="shared" si="2"/>
        <v>2005/07/07 11:45:00</v>
      </c>
      <c r="F73" s="2" t="str">
        <v>2004/03/04 12:45:00</v>
      </c>
      <c r="G73">
        <f t="shared" si="3"/>
        <v>38050</v>
      </c>
    </row>
    <row r="74" spans="1:7" x14ac:dyDescent="0.25">
      <c r="A74" s="1">
        <v>38568</v>
      </c>
      <c r="B74">
        <v>2</v>
      </c>
      <c r="C74">
        <v>2</v>
      </c>
      <c r="D74" s="2" t="str">
        <f t="shared" si="2"/>
        <v>2005/08/04 11:45:00</v>
      </c>
      <c r="F74" s="2" t="str">
        <v>2004/04/01 11:45:00</v>
      </c>
      <c r="G74">
        <f t="shared" si="3"/>
        <v>38078</v>
      </c>
    </row>
    <row r="75" spans="1:7" x14ac:dyDescent="0.25">
      <c r="A75" s="1">
        <v>38596</v>
      </c>
      <c r="B75">
        <v>2</v>
      </c>
      <c r="C75">
        <v>2</v>
      </c>
      <c r="D75" s="2" t="str">
        <f t="shared" si="2"/>
        <v>2005/09/01 11:45:00</v>
      </c>
      <c r="F75" s="2" t="str">
        <v>2004/05/06 11:45:00</v>
      </c>
      <c r="G75">
        <f t="shared" si="3"/>
        <v>38113</v>
      </c>
    </row>
    <row r="76" spans="1:7" x14ac:dyDescent="0.25">
      <c r="A76" s="1">
        <v>38631</v>
      </c>
      <c r="B76">
        <v>2</v>
      </c>
      <c r="C76">
        <v>2</v>
      </c>
      <c r="D76" s="2" t="str">
        <f t="shared" si="2"/>
        <v>2005/10/06 11:45:00</v>
      </c>
      <c r="F76" s="2" t="str">
        <v>2004/06/03 11:45:00</v>
      </c>
      <c r="G76">
        <f t="shared" si="3"/>
        <v>38141</v>
      </c>
    </row>
    <row r="77" spans="1:7" x14ac:dyDescent="0.25">
      <c r="A77" s="1">
        <v>38659</v>
      </c>
      <c r="B77">
        <v>2</v>
      </c>
      <c r="C77">
        <v>2</v>
      </c>
      <c r="D77" s="2" t="str">
        <f t="shared" si="2"/>
        <v>2005/11/03 12:45:00</v>
      </c>
      <c r="F77" s="2" t="str">
        <v>2004/07/01 11:45:00</v>
      </c>
      <c r="G77">
        <f t="shared" si="3"/>
        <v>38169</v>
      </c>
    </row>
    <row r="78" spans="1:7" x14ac:dyDescent="0.25">
      <c r="A78" s="1">
        <v>38687</v>
      </c>
      <c r="B78">
        <v>2.25</v>
      </c>
      <c r="C78">
        <v>2.25</v>
      </c>
      <c r="D78" s="2" t="str">
        <f t="shared" si="2"/>
        <v>2005/12/01 12:45:00</v>
      </c>
      <c r="F78" s="2" t="str">
        <v>2004/08/05 11:45:00</v>
      </c>
      <c r="G78">
        <f t="shared" si="3"/>
        <v>38204</v>
      </c>
    </row>
    <row r="79" spans="1:7" x14ac:dyDescent="0.25">
      <c r="A79" s="1">
        <v>38729</v>
      </c>
      <c r="B79">
        <v>2.25</v>
      </c>
      <c r="C79">
        <v>2.25</v>
      </c>
      <c r="D79" s="2" t="str">
        <f t="shared" si="2"/>
        <v>2006/01/12 12:45:00</v>
      </c>
      <c r="F79" s="2" t="str">
        <v>2004/09/02 11:45:00</v>
      </c>
      <c r="G79">
        <f t="shared" si="3"/>
        <v>38232</v>
      </c>
    </row>
    <row r="80" spans="1:7" x14ac:dyDescent="0.25">
      <c r="A80" s="1">
        <v>38750</v>
      </c>
      <c r="B80">
        <v>2.25</v>
      </c>
      <c r="C80">
        <v>2.25</v>
      </c>
      <c r="D80" s="2" t="str">
        <f t="shared" si="2"/>
        <v>2006/02/02 12:45:00</v>
      </c>
      <c r="F80" s="2" t="str">
        <v>2004/10/07 11:45:00</v>
      </c>
      <c r="G80">
        <f t="shared" si="3"/>
        <v>38267</v>
      </c>
    </row>
    <row r="81" spans="1:7" x14ac:dyDescent="0.25">
      <c r="A81" s="1">
        <v>38778</v>
      </c>
      <c r="B81">
        <v>2.5</v>
      </c>
      <c r="C81">
        <v>2.5</v>
      </c>
      <c r="D81" s="2" t="str">
        <f t="shared" si="2"/>
        <v>2006/03/02 12:45:00</v>
      </c>
      <c r="F81" s="2" t="str">
        <v>2004/11/04 12:45:00</v>
      </c>
      <c r="G81">
        <f t="shared" si="3"/>
        <v>38295</v>
      </c>
    </row>
    <row r="82" spans="1:7" x14ac:dyDescent="0.25">
      <c r="A82" s="1">
        <v>38813</v>
      </c>
      <c r="B82">
        <v>2.5</v>
      </c>
      <c r="C82">
        <v>2.5</v>
      </c>
      <c r="D82" s="2" t="str">
        <f t="shared" si="2"/>
        <v>2006/04/06 11:45:00</v>
      </c>
      <c r="F82" s="2" t="str">
        <v>2004/12/02 12:45:00</v>
      </c>
      <c r="G82">
        <f t="shared" si="3"/>
        <v>38323</v>
      </c>
    </row>
    <row r="83" spans="1:7" x14ac:dyDescent="0.25">
      <c r="A83" s="1">
        <v>38841</v>
      </c>
      <c r="B83">
        <v>2.5</v>
      </c>
      <c r="C83">
        <v>2.5</v>
      </c>
      <c r="D83" s="2" t="str">
        <f t="shared" si="2"/>
        <v>2006/05/04 11:45:00</v>
      </c>
      <c r="F83" s="2" t="str">
        <v>2005/01/13 12:45:00</v>
      </c>
      <c r="G83">
        <f t="shared" si="3"/>
        <v>38365</v>
      </c>
    </row>
    <row r="84" spans="1:7" x14ac:dyDescent="0.25">
      <c r="A84" s="1">
        <v>38876</v>
      </c>
      <c r="B84">
        <v>2.75</v>
      </c>
      <c r="C84">
        <v>2.75</v>
      </c>
      <c r="D84" s="2" t="str">
        <f t="shared" si="2"/>
        <v>2006/06/08 11:45:00</v>
      </c>
      <c r="F84" s="2" t="str">
        <v>2005/02/03 12:45:00</v>
      </c>
      <c r="G84">
        <f t="shared" si="3"/>
        <v>38386</v>
      </c>
    </row>
    <row r="85" spans="1:7" x14ac:dyDescent="0.25">
      <c r="A85" s="1">
        <v>38904</v>
      </c>
      <c r="B85">
        <v>2.75</v>
      </c>
      <c r="C85">
        <v>2.75</v>
      </c>
      <c r="D85" s="2" t="str">
        <f t="shared" si="2"/>
        <v>2006/07/06 11:45:00</v>
      </c>
      <c r="F85" s="2" t="str">
        <v>2005/03/03 12:45:00</v>
      </c>
      <c r="G85">
        <f t="shared" si="3"/>
        <v>38414</v>
      </c>
    </row>
    <row r="86" spans="1:7" x14ac:dyDescent="0.25">
      <c r="A86" s="1">
        <v>38932</v>
      </c>
      <c r="B86">
        <v>3</v>
      </c>
      <c r="C86">
        <v>3</v>
      </c>
      <c r="D86" s="2" t="str">
        <f t="shared" si="2"/>
        <v>2006/08/03 11:45:00</v>
      </c>
      <c r="F86" s="2" t="str">
        <v>2005/04/07 11:45:00</v>
      </c>
      <c r="G86">
        <f t="shared" si="3"/>
        <v>38449</v>
      </c>
    </row>
    <row r="87" spans="1:7" x14ac:dyDescent="0.25">
      <c r="A87" s="1">
        <v>38960</v>
      </c>
      <c r="B87">
        <v>3</v>
      </c>
      <c r="C87">
        <v>3</v>
      </c>
      <c r="D87" s="2" t="str">
        <f t="shared" si="2"/>
        <v>2006/08/31 11:45:00</v>
      </c>
      <c r="F87" s="2" t="str">
        <v>2005/05/04 11:45:00</v>
      </c>
      <c r="G87">
        <f t="shared" si="3"/>
        <v>38476</v>
      </c>
    </row>
    <row r="88" spans="1:7" x14ac:dyDescent="0.25">
      <c r="A88" s="1">
        <v>38995</v>
      </c>
      <c r="B88">
        <v>3.25</v>
      </c>
      <c r="C88">
        <v>3.25</v>
      </c>
      <c r="D88" s="2" t="str">
        <f t="shared" si="2"/>
        <v>2006/10/05 11:45:00</v>
      </c>
      <c r="F88" s="2" t="str">
        <v>2005/06/02 11:45:00</v>
      </c>
      <c r="G88">
        <f t="shared" si="3"/>
        <v>38505</v>
      </c>
    </row>
    <row r="89" spans="1:7" x14ac:dyDescent="0.25">
      <c r="A89" s="1">
        <v>39023</v>
      </c>
      <c r="B89">
        <v>3.25</v>
      </c>
      <c r="C89">
        <v>3.25</v>
      </c>
      <c r="D89" s="2" t="str">
        <f t="shared" si="2"/>
        <v>2006/11/02 12:45:00</v>
      </c>
      <c r="F89" s="2" t="str">
        <v>2005/07/07 11:45:00</v>
      </c>
      <c r="G89">
        <f t="shared" si="3"/>
        <v>38540</v>
      </c>
    </row>
    <row r="90" spans="1:7" x14ac:dyDescent="0.25">
      <c r="A90" s="1">
        <v>39058</v>
      </c>
      <c r="B90">
        <v>3.5</v>
      </c>
      <c r="C90">
        <v>3.5</v>
      </c>
      <c r="D90" s="2" t="str">
        <f t="shared" si="2"/>
        <v>2006/12/07 12:45:00</v>
      </c>
      <c r="F90" s="2" t="str">
        <v>2005/08/04 11:45:00</v>
      </c>
      <c r="G90">
        <f t="shared" si="3"/>
        <v>38568</v>
      </c>
    </row>
    <row r="91" spans="1:7" x14ac:dyDescent="0.25">
      <c r="A91" s="1">
        <v>39093</v>
      </c>
      <c r="B91">
        <v>3.5</v>
      </c>
      <c r="C91">
        <v>3.5</v>
      </c>
      <c r="D91" s="2" t="str">
        <f t="shared" si="2"/>
        <v>2007/01/11 12:45:00</v>
      </c>
      <c r="F91" s="2" t="str">
        <v>2005/09/01 11:45:00</v>
      </c>
      <c r="G91">
        <f t="shared" si="3"/>
        <v>38596</v>
      </c>
    </row>
    <row r="92" spans="1:7" x14ac:dyDescent="0.25">
      <c r="A92" s="1">
        <v>39121</v>
      </c>
      <c r="B92">
        <v>3.5</v>
      </c>
      <c r="C92">
        <v>3.5</v>
      </c>
      <c r="D92" s="2" t="str">
        <f t="shared" si="2"/>
        <v>2007/02/08 12:45:00</v>
      </c>
      <c r="F92" s="2" t="str">
        <v>2005/10/06 11:45:00</v>
      </c>
      <c r="G92">
        <f t="shared" si="3"/>
        <v>38631</v>
      </c>
    </row>
    <row r="93" spans="1:7" x14ac:dyDescent="0.25">
      <c r="A93" s="1">
        <v>39149</v>
      </c>
      <c r="B93">
        <v>3.75</v>
      </c>
      <c r="C93">
        <v>3.75</v>
      </c>
      <c r="D93" s="2" t="str">
        <f t="shared" si="2"/>
        <v>2007/03/08 12:45:00</v>
      </c>
      <c r="F93" s="2" t="str">
        <v>2005/11/03 12:45:00</v>
      </c>
      <c r="G93">
        <f t="shared" si="3"/>
        <v>38659</v>
      </c>
    </row>
    <row r="94" spans="1:7" x14ac:dyDescent="0.25">
      <c r="A94" s="1">
        <v>39184</v>
      </c>
      <c r="B94">
        <v>3.75</v>
      </c>
      <c r="C94">
        <v>3.75</v>
      </c>
      <c r="D94" s="2" t="str">
        <f t="shared" si="2"/>
        <v>2007/04/12 11:45:00</v>
      </c>
      <c r="F94" s="2" t="str">
        <v>2005/12/01 12:45:00</v>
      </c>
      <c r="G94">
        <f t="shared" si="3"/>
        <v>38687</v>
      </c>
    </row>
    <row r="95" spans="1:7" x14ac:dyDescent="0.25">
      <c r="A95" s="1">
        <v>39212</v>
      </c>
      <c r="B95">
        <v>3.75</v>
      </c>
      <c r="C95">
        <v>3.75</v>
      </c>
      <c r="D95" s="2" t="str">
        <f t="shared" si="2"/>
        <v>2007/05/10 11:45:00</v>
      </c>
      <c r="F95" s="2" t="str">
        <v>2006/01/12 12:45:00</v>
      </c>
      <c r="G95">
        <f t="shared" si="3"/>
        <v>38729</v>
      </c>
    </row>
    <row r="96" spans="1:7" x14ac:dyDescent="0.25">
      <c r="A96" s="1">
        <v>39239</v>
      </c>
      <c r="B96">
        <v>4</v>
      </c>
      <c r="C96">
        <v>4</v>
      </c>
      <c r="D96" s="2" t="str">
        <f t="shared" si="2"/>
        <v>2007/06/06 11:45:00</v>
      </c>
      <c r="F96" s="2" t="str">
        <v>2006/02/02 12:45:00</v>
      </c>
      <c r="G96">
        <f t="shared" si="3"/>
        <v>38750</v>
      </c>
    </row>
    <row r="97" spans="1:7" x14ac:dyDescent="0.25">
      <c r="A97" s="1">
        <v>39268</v>
      </c>
      <c r="B97">
        <v>4</v>
      </c>
      <c r="C97">
        <v>4</v>
      </c>
      <c r="D97" s="2" t="str">
        <f t="shared" si="2"/>
        <v>2007/07/05 11:45:00</v>
      </c>
      <c r="F97" s="2" t="str">
        <v>2006/03/02 12:45:00</v>
      </c>
      <c r="G97">
        <f t="shared" si="3"/>
        <v>38778</v>
      </c>
    </row>
    <row r="98" spans="1:7" x14ac:dyDescent="0.25">
      <c r="A98" s="1">
        <v>39296</v>
      </c>
      <c r="B98">
        <v>4</v>
      </c>
      <c r="C98">
        <v>4</v>
      </c>
      <c r="D98" s="2" t="str">
        <f t="shared" si="2"/>
        <v>2007/08/02 11:45:00</v>
      </c>
      <c r="F98" s="2" t="str">
        <v>2006/04/06 11:45:00</v>
      </c>
      <c r="G98">
        <f t="shared" si="3"/>
        <v>38813</v>
      </c>
    </row>
    <row r="99" spans="1:7" x14ac:dyDescent="0.25">
      <c r="A99" s="1">
        <v>39331</v>
      </c>
      <c r="B99">
        <v>4</v>
      </c>
      <c r="C99">
        <v>4</v>
      </c>
      <c r="D99" s="2" t="str">
        <f t="shared" si="2"/>
        <v>2007/09/06 11:45:00</v>
      </c>
      <c r="F99" s="2" t="str">
        <v>2006/05/04 11:45:00</v>
      </c>
      <c r="G99">
        <f t="shared" si="3"/>
        <v>38841</v>
      </c>
    </row>
    <row r="100" spans="1:7" x14ac:dyDescent="0.25">
      <c r="A100" s="1">
        <v>39359</v>
      </c>
      <c r="B100">
        <v>4</v>
      </c>
      <c r="C100">
        <v>4</v>
      </c>
      <c r="D100" s="2" t="str">
        <f t="shared" si="2"/>
        <v>2007/10/04 11:45:00</v>
      </c>
      <c r="F100" s="2" t="str">
        <v>2006/06/08 11:45:00</v>
      </c>
      <c r="G100">
        <f t="shared" si="3"/>
        <v>38876</v>
      </c>
    </row>
    <row r="101" spans="1:7" x14ac:dyDescent="0.25">
      <c r="A101" s="1">
        <v>39394</v>
      </c>
      <c r="B101">
        <v>4</v>
      </c>
      <c r="C101">
        <v>4</v>
      </c>
      <c r="D101" s="2" t="str">
        <f t="shared" si="2"/>
        <v>2007/11/08 12:45:00</v>
      </c>
      <c r="F101" s="2" t="str">
        <v>2006/07/06 11:45:00</v>
      </c>
      <c r="G101">
        <f t="shared" si="3"/>
        <v>38904</v>
      </c>
    </row>
    <row r="102" spans="1:7" x14ac:dyDescent="0.25">
      <c r="A102" s="1">
        <v>39422</v>
      </c>
      <c r="B102">
        <v>4</v>
      </c>
      <c r="C102">
        <v>4</v>
      </c>
      <c r="D102" s="2" t="str">
        <f t="shared" si="2"/>
        <v>2007/12/06 12:45:00</v>
      </c>
      <c r="F102" s="2" t="str">
        <v>2006/08/03 11:45:00</v>
      </c>
      <c r="G102">
        <f t="shared" si="3"/>
        <v>38932</v>
      </c>
    </row>
    <row r="103" spans="1:7" x14ac:dyDescent="0.25">
      <c r="A103" s="1">
        <v>39457</v>
      </c>
      <c r="B103">
        <v>4</v>
      </c>
      <c r="C103">
        <v>4</v>
      </c>
      <c r="D103" s="2" t="str">
        <f t="shared" si="2"/>
        <v>2008/01/10 12:45:00</v>
      </c>
      <c r="F103" s="2" t="str">
        <v>2006/08/31 11:45:00</v>
      </c>
      <c r="G103">
        <f t="shared" si="3"/>
        <v>38960</v>
      </c>
    </row>
    <row r="104" spans="1:7" x14ac:dyDescent="0.25">
      <c r="A104" s="1">
        <v>39485</v>
      </c>
      <c r="B104">
        <v>4</v>
      </c>
      <c r="C104">
        <v>4</v>
      </c>
      <c r="D104" s="2" t="str">
        <f t="shared" si="2"/>
        <v>2008/02/07 12:45:00</v>
      </c>
      <c r="F104" s="2" t="str">
        <v>2006/10/05 11:45:00</v>
      </c>
      <c r="G104">
        <f t="shared" si="3"/>
        <v>38995</v>
      </c>
    </row>
    <row r="105" spans="1:7" x14ac:dyDescent="0.25">
      <c r="A105" s="1">
        <v>39513</v>
      </c>
      <c r="B105">
        <v>4</v>
      </c>
      <c r="C105">
        <v>4</v>
      </c>
      <c r="D105" s="2" t="str">
        <f t="shared" si="2"/>
        <v>2008/03/06 12:45:00</v>
      </c>
      <c r="F105" s="2" t="str">
        <v>2006/11/02 12:45:00</v>
      </c>
      <c r="G105">
        <f t="shared" si="3"/>
        <v>39023</v>
      </c>
    </row>
    <row r="106" spans="1:7" x14ac:dyDescent="0.25">
      <c r="A106" s="1">
        <v>39548</v>
      </c>
      <c r="B106">
        <v>4</v>
      </c>
      <c r="C106">
        <v>4</v>
      </c>
      <c r="D106" s="2" t="str">
        <f t="shared" si="2"/>
        <v>2008/04/10 11:45:00</v>
      </c>
      <c r="F106" s="2" t="str">
        <v>2006/12/07 12:45:00</v>
      </c>
      <c r="G106">
        <f t="shared" si="3"/>
        <v>39058</v>
      </c>
    </row>
    <row r="107" spans="1:7" x14ac:dyDescent="0.25">
      <c r="A107" s="1">
        <v>39576</v>
      </c>
      <c r="B107">
        <v>4</v>
      </c>
      <c r="C107">
        <v>4</v>
      </c>
      <c r="D107" s="2" t="str">
        <f t="shared" si="2"/>
        <v>2008/05/08 11:45:00</v>
      </c>
      <c r="F107" s="2" t="str">
        <v>2007/01/11 12:45:00</v>
      </c>
      <c r="G107">
        <f t="shared" si="3"/>
        <v>39093</v>
      </c>
    </row>
    <row r="108" spans="1:7" x14ac:dyDescent="0.25">
      <c r="A108" s="1">
        <v>39604</v>
      </c>
      <c r="B108">
        <v>4</v>
      </c>
      <c r="C108">
        <v>4</v>
      </c>
      <c r="D108" s="2" t="str">
        <f t="shared" si="2"/>
        <v>2008/06/05 11:45:00</v>
      </c>
      <c r="F108" s="2" t="str">
        <v>2007/02/08 12:45:00</v>
      </c>
      <c r="G108">
        <f t="shared" si="3"/>
        <v>39121</v>
      </c>
    </row>
    <row r="109" spans="1:7" x14ac:dyDescent="0.25">
      <c r="A109" s="1">
        <v>39632</v>
      </c>
      <c r="B109">
        <v>4.25</v>
      </c>
      <c r="C109">
        <v>4.25</v>
      </c>
      <c r="D109" s="2" t="str">
        <f t="shared" si="2"/>
        <v>2008/07/03 11:45:00</v>
      </c>
      <c r="F109" s="2" t="str">
        <v>2007/03/08 12:45:00</v>
      </c>
      <c r="G109">
        <f t="shared" si="3"/>
        <v>39149</v>
      </c>
    </row>
    <row r="110" spans="1:7" x14ac:dyDescent="0.25">
      <c r="A110" s="1">
        <v>39667</v>
      </c>
      <c r="B110">
        <v>4.25</v>
      </c>
      <c r="C110">
        <v>4.25</v>
      </c>
      <c r="D110" s="2" t="str">
        <f t="shared" si="2"/>
        <v>2008/08/07 11:45:00</v>
      </c>
      <c r="F110" s="2" t="str">
        <v>2007/04/12 11:45:00</v>
      </c>
      <c r="G110">
        <f t="shared" si="3"/>
        <v>39184</v>
      </c>
    </row>
    <row r="111" spans="1:7" x14ac:dyDescent="0.25">
      <c r="A111" s="1">
        <v>39695</v>
      </c>
      <c r="B111">
        <v>4.25</v>
      </c>
      <c r="C111">
        <v>4.25</v>
      </c>
      <c r="D111" s="2" t="str">
        <f t="shared" si="2"/>
        <v>2008/09/04 11:45:00</v>
      </c>
      <c r="F111" s="2" t="str">
        <v>2007/05/10 11:45:00</v>
      </c>
      <c r="G111">
        <f t="shared" si="3"/>
        <v>39212</v>
      </c>
    </row>
    <row r="112" spans="1:7" x14ac:dyDescent="0.25">
      <c r="A112" s="1">
        <v>39723</v>
      </c>
      <c r="B112">
        <v>4.25</v>
      </c>
      <c r="C112">
        <v>4.25</v>
      </c>
      <c r="D112" s="2" t="str">
        <f t="shared" si="2"/>
        <v>2008/10/02 11:45:00</v>
      </c>
      <c r="F112" s="2" t="str">
        <v>2007/06/06 11:45:00</v>
      </c>
      <c r="G112">
        <f t="shared" si="3"/>
        <v>39239</v>
      </c>
    </row>
    <row r="113" spans="1:7" x14ac:dyDescent="0.25">
      <c r="A113" s="1">
        <v>39729</v>
      </c>
      <c r="B113" t="str">
        <v>#N/A N/A</v>
      </c>
      <c r="C113">
        <v>3.75</v>
      </c>
      <c r="D113" s="2" t="str">
        <f t="shared" si="2"/>
        <v>2008/10/08 11:00:00</v>
      </c>
      <c r="F113" s="2" t="str">
        <v>2007/07/05 11:45:00</v>
      </c>
      <c r="G113">
        <f t="shared" si="3"/>
        <v>39268</v>
      </c>
    </row>
    <row r="114" spans="1:7" x14ac:dyDescent="0.25">
      <c r="A114" s="1">
        <v>39758</v>
      </c>
      <c r="B114">
        <v>3.25</v>
      </c>
      <c r="C114">
        <v>3.25</v>
      </c>
      <c r="D114" s="2" t="str">
        <f t="shared" si="2"/>
        <v>2008/11/06 12:45:00</v>
      </c>
      <c r="F114" s="2" t="str">
        <v>2007/08/02 11:45:00</v>
      </c>
      <c r="G114">
        <f t="shared" si="3"/>
        <v>39296</v>
      </c>
    </row>
    <row r="115" spans="1:7" x14ac:dyDescent="0.25">
      <c r="A115" s="1">
        <v>39786</v>
      </c>
      <c r="B115">
        <v>2.75</v>
      </c>
      <c r="C115">
        <v>2.5</v>
      </c>
      <c r="D115" s="2" t="str">
        <f t="shared" si="2"/>
        <v>2008/12/04 12:45:00</v>
      </c>
      <c r="F115" s="2" t="str">
        <v>2007/09/06 11:45:00</v>
      </c>
      <c r="G115">
        <f t="shared" si="3"/>
        <v>39331</v>
      </c>
    </row>
    <row r="116" spans="1:7" x14ac:dyDescent="0.25">
      <c r="A116" s="1">
        <v>39828</v>
      </c>
      <c r="B116">
        <v>2</v>
      </c>
      <c r="C116">
        <v>2</v>
      </c>
      <c r="D116" s="2" t="str">
        <f t="shared" si="2"/>
        <v>2009/01/15 12:45:00</v>
      </c>
      <c r="F116" s="2" t="str">
        <v>2007/10/04 11:45:00</v>
      </c>
      <c r="G116">
        <f t="shared" si="3"/>
        <v>39359</v>
      </c>
    </row>
    <row r="117" spans="1:7" x14ac:dyDescent="0.25">
      <c r="A117" s="1">
        <v>39849</v>
      </c>
      <c r="B117">
        <v>2</v>
      </c>
      <c r="C117">
        <v>2</v>
      </c>
      <c r="D117" s="2" t="str">
        <f t="shared" si="2"/>
        <v>2009/02/05 12:45:00</v>
      </c>
      <c r="F117" s="2" t="str">
        <v>2007/11/08 12:45:00</v>
      </c>
      <c r="G117">
        <f t="shared" si="3"/>
        <v>39394</v>
      </c>
    </row>
    <row r="118" spans="1:7" x14ac:dyDescent="0.25">
      <c r="A118" s="1">
        <v>39877</v>
      </c>
      <c r="B118">
        <v>1.5</v>
      </c>
      <c r="C118">
        <v>1.5</v>
      </c>
      <c r="D118" s="2" t="str">
        <f t="shared" si="2"/>
        <v>2009/03/05 12:45:00</v>
      </c>
      <c r="F118" s="2" t="str">
        <v>2007/12/06 12:45:00</v>
      </c>
      <c r="G118">
        <f t="shared" si="3"/>
        <v>39422</v>
      </c>
    </row>
    <row r="119" spans="1:7" x14ac:dyDescent="0.25">
      <c r="A119" s="1">
        <v>39905</v>
      </c>
      <c r="B119">
        <v>1</v>
      </c>
      <c r="C119">
        <v>1.25</v>
      </c>
      <c r="D119" s="2" t="str">
        <f t="shared" si="2"/>
        <v>2009/04/02 11:45:00</v>
      </c>
      <c r="F119" s="2" t="str">
        <v>2008/01/10 12:45:00</v>
      </c>
      <c r="G119">
        <f t="shared" si="3"/>
        <v>39457</v>
      </c>
    </row>
    <row r="120" spans="1:7" x14ac:dyDescent="0.25">
      <c r="A120" s="1">
        <v>39940</v>
      </c>
      <c r="B120">
        <v>1</v>
      </c>
      <c r="C120">
        <v>1</v>
      </c>
      <c r="D120" s="2" t="str">
        <f t="shared" si="2"/>
        <v>2009/05/07 11:45:00</v>
      </c>
      <c r="F120" s="2" t="str">
        <v>2008/02/07 12:45:00</v>
      </c>
      <c r="G120">
        <f t="shared" si="3"/>
        <v>39485</v>
      </c>
    </row>
    <row r="121" spans="1:7" x14ac:dyDescent="0.25">
      <c r="A121" s="1">
        <v>39968</v>
      </c>
      <c r="B121">
        <v>1</v>
      </c>
      <c r="C121">
        <v>1</v>
      </c>
      <c r="D121" s="2" t="str">
        <f t="shared" si="2"/>
        <v>2009/06/04 11:45:00</v>
      </c>
      <c r="F121" s="2" t="str">
        <v>2008/03/06 12:45:00</v>
      </c>
      <c r="G121">
        <f t="shared" si="3"/>
        <v>39513</v>
      </c>
    </row>
    <row r="122" spans="1:7" x14ac:dyDescent="0.25">
      <c r="A122" s="1">
        <v>39996</v>
      </c>
      <c r="B122">
        <v>1</v>
      </c>
      <c r="C122">
        <v>1</v>
      </c>
      <c r="D122" s="2" t="str">
        <f t="shared" si="2"/>
        <v>2009/07/02 11:45:00</v>
      </c>
      <c r="F122" s="2" t="str">
        <v>2008/04/10 11:45:00</v>
      </c>
      <c r="G122">
        <f t="shared" si="3"/>
        <v>39548</v>
      </c>
    </row>
    <row r="123" spans="1:7" x14ac:dyDescent="0.25">
      <c r="A123" s="1">
        <v>40031</v>
      </c>
      <c r="B123">
        <v>1</v>
      </c>
      <c r="C123">
        <v>1</v>
      </c>
      <c r="D123" s="2" t="str">
        <f t="shared" si="2"/>
        <v>2009/08/06 11:45:00</v>
      </c>
      <c r="F123" s="2" t="str">
        <v>2008/05/08 11:45:00</v>
      </c>
      <c r="G123">
        <f t="shared" si="3"/>
        <v>39576</v>
      </c>
    </row>
    <row r="124" spans="1:7" x14ac:dyDescent="0.25">
      <c r="A124" s="1">
        <v>40059</v>
      </c>
      <c r="B124">
        <v>1</v>
      </c>
      <c r="C124">
        <v>1</v>
      </c>
      <c r="D124" s="2" t="str">
        <f t="shared" si="2"/>
        <v>2009/09/03 11:45:00</v>
      </c>
      <c r="F124" s="2" t="str">
        <v>2008/06/05 11:45:00</v>
      </c>
      <c r="G124">
        <f t="shared" si="3"/>
        <v>39604</v>
      </c>
    </row>
    <row r="125" spans="1:7" x14ac:dyDescent="0.25">
      <c r="A125" s="1">
        <v>40094</v>
      </c>
      <c r="B125">
        <v>1</v>
      </c>
      <c r="C125">
        <v>1</v>
      </c>
      <c r="D125" s="2" t="str">
        <f t="shared" si="2"/>
        <v>2009/10/08 11:45:00</v>
      </c>
      <c r="F125" s="2" t="str">
        <v>2008/07/03 11:45:00</v>
      </c>
      <c r="G125">
        <f t="shared" si="3"/>
        <v>39632</v>
      </c>
    </row>
    <row r="126" spans="1:7" x14ac:dyDescent="0.25">
      <c r="A126" s="1">
        <v>40122</v>
      </c>
      <c r="B126">
        <v>1</v>
      </c>
      <c r="C126">
        <v>1</v>
      </c>
      <c r="D126" s="2" t="str">
        <f t="shared" si="2"/>
        <v>2009/11/05 12:45:00</v>
      </c>
      <c r="F126" s="2" t="str">
        <v>2008/08/07 11:45:00</v>
      </c>
      <c r="G126">
        <f t="shared" si="3"/>
        <v>39667</v>
      </c>
    </row>
    <row r="127" spans="1:7" x14ac:dyDescent="0.25">
      <c r="A127" s="1">
        <v>40150</v>
      </c>
      <c r="B127">
        <v>1</v>
      </c>
      <c r="C127">
        <v>1</v>
      </c>
      <c r="D127" s="2" t="str">
        <f t="shared" si="2"/>
        <v>2009/12/03 12:45:00</v>
      </c>
      <c r="F127" s="2" t="str">
        <v>2008/09/04 11:45:00</v>
      </c>
      <c r="G127">
        <f t="shared" si="3"/>
        <v>39695</v>
      </c>
    </row>
    <row r="128" spans="1:7" x14ac:dyDescent="0.25">
      <c r="A128" s="1">
        <v>40192</v>
      </c>
      <c r="B128">
        <v>1</v>
      </c>
      <c r="C128">
        <v>1</v>
      </c>
      <c r="D128" s="2" t="str">
        <f t="shared" si="2"/>
        <v>2010/01/14 12:45:00</v>
      </c>
      <c r="F128" s="2" t="str">
        <v>2008/10/02 11:45:00</v>
      </c>
      <c r="G128">
        <f t="shared" si="3"/>
        <v>39723</v>
      </c>
    </row>
    <row r="129" spans="1:7" x14ac:dyDescent="0.25">
      <c r="A129" s="1">
        <v>40213</v>
      </c>
      <c r="B129">
        <v>1</v>
      </c>
      <c r="C129">
        <v>1</v>
      </c>
      <c r="D129" s="2" t="str">
        <f t="shared" si="2"/>
        <v>2010/02/04 12:45:00</v>
      </c>
      <c r="F129" s="2" t="str">
        <v>2008/10/08 11:00:00</v>
      </c>
      <c r="G129">
        <f t="shared" si="3"/>
        <v>39729</v>
      </c>
    </row>
    <row r="130" spans="1:7" x14ac:dyDescent="0.25">
      <c r="A130" s="1">
        <v>40241</v>
      </c>
      <c r="B130">
        <v>1</v>
      </c>
      <c r="C130">
        <v>1</v>
      </c>
      <c r="D130" s="2" t="str">
        <f t="shared" ref="D130:D193" si="4">IFERROR(_xlfn.XLOOKUP(A130,$G:$G,$F:$F,""),"")</f>
        <v>2010/03/04 12:45:00</v>
      </c>
      <c r="F130" s="2" t="str">
        <v>2008/11/06 12:45:00</v>
      </c>
      <c r="G130">
        <f t="shared" ref="G130:G193" si="5">IFERROR(INT(F130),"")</f>
        <v>39758</v>
      </c>
    </row>
    <row r="131" spans="1:7" x14ac:dyDescent="0.25">
      <c r="A131" s="1">
        <v>40276</v>
      </c>
      <c r="B131">
        <v>1</v>
      </c>
      <c r="C131">
        <v>1</v>
      </c>
      <c r="D131" s="2" t="str">
        <f t="shared" si="4"/>
        <v>2010/04/08 11:45:00</v>
      </c>
      <c r="F131" s="2" t="str">
        <v>2008/12/04 12:45:00</v>
      </c>
      <c r="G131">
        <f t="shared" si="5"/>
        <v>39786</v>
      </c>
    </row>
    <row r="132" spans="1:7" x14ac:dyDescent="0.25">
      <c r="A132" s="1">
        <v>40304</v>
      </c>
      <c r="B132">
        <v>1</v>
      </c>
      <c r="C132">
        <v>1</v>
      </c>
      <c r="D132" s="2" t="str">
        <f t="shared" si="4"/>
        <v>2010/05/06 11:45:00</v>
      </c>
      <c r="F132" s="2" t="str">
        <v>2009/01/15 12:45:00</v>
      </c>
      <c r="G132">
        <f t="shared" si="5"/>
        <v>39828</v>
      </c>
    </row>
    <row r="133" spans="1:7" x14ac:dyDescent="0.25">
      <c r="A133" s="1">
        <v>40339</v>
      </c>
      <c r="B133">
        <v>1</v>
      </c>
      <c r="C133">
        <v>1</v>
      </c>
      <c r="D133" s="2" t="str">
        <f t="shared" si="4"/>
        <v>2010/06/10 11:45:00</v>
      </c>
      <c r="F133" s="2" t="str">
        <v>2009/02/05 12:45:00</v>
      </c>
      <c r="G133">
        <f t="shared" si="5"/>
        <v>39849</v>
      </c>
    </row>
    <row r="134" spans="1:7" x14ac:dyDescent="0.25">
      <c r="A134" s="1">
        <v>40367</v>
      </c>
      <c r="B134">
        <v>1</v>
      </c>
      <c r="C134">
        <v>1</v>
      </c>
      <c r="D134" s="2" t="str">
        <f t="shared" si="4"/>
        <v>2010/07/08 11:45:00</v>
      </c>
      <c r="F134" s="2" t="str">
        <v>2009/03/05 12:45:00</v>
      </c>
      <c r="G134">
        <f t="shared" si="5"/>
        <v>39877</v>
      </c>
    </row>
    <row r="135" spans="1:7" x14ac:dyDescent="0.25">
      <c r="A135" s="1">
        <v>40395</v>
      </c>
      <c r="B135">
        <v>1</v>
      </c>
      <c r="C135">
        <v>1</v>
      </c>
      <c r="D135" s="2" t="str">
        <f t="shared" si="4"/>
        <v>2010/08/05 11:45:00</v>
      </c>
      <c r="F135" s="2" t="str">
        <v>2009/04/02 11:45:00</v>
      </c>
      <c r="G135">
        <f t="shared" si="5"/>
        <v>39905</v>
      </c>
    </row>
    <row r="136" spans="1:7" x14ac:dyDescent="0.25">
      <c r="A136" s="1">
        <v>40423</v>
      </c>
      <c r="B136">
        <v>1</v>
      </c>
      <c r="C136">
        <v>1</v>
      </c>
      <c r="D136" s="2" t="str">
        <f t="shared" si="4"/>
        <v>2010/09/02 11:45:00</v>
      </c>
      <c r="F136" s="2" t="str">
        <v>2009/05/07 11:45:00</v>
      </c>
      <c r="G136">
        <f t="shared" si="5"/>
        <v>39940</v>
      </c>
    </row>
    <row r="137" spans="1:7" x14ac:dyDescent="0.25">
      <c r="A137" s="1">
        <v>40458</v>
      </c>
      <c r="B137">
        <v>1</v>
      </c>
      <c r="C137">
        <v>1</v>
      </c>
      <c r="D137" s="2" t="str">
        <f t="shared" si="4"/>
        <v>2010/10/07 11:45:00</v>
      </c>
      <c r="F137" s="2" t="str">
        <v>2009/06/04 11:45:00</v>
      </c>
      <c r="G137">
        <f t="shared" si="5"/>
        <v>39968</v>
      </c>
    </row>
    <row r="138" spans="1:7" x14ac:dyDescent="0.25">
      <c r="A138" s="1">
        <v>40486</v>
      </c>
      <c r="B138">
        <v>1</v>
      </c>
      <c r="C138">
        <v>1</v>
      </c>
      <c r="D138" s="2" t="str">
        <f t="shared" si="4"/>
        <v>2010/11/04 12:45:00</v>
      </c>
      <c r="F138" s="2" t="str">
        <v>2009/07/02 11:45:00</v>
      </c>
      <c r="G138">
        <f t="shared" si="5"/>
        <v>39996</v>
      </c>
    </row>
    <row r="139" spans="1:7" x14ac:dyDescent="0.25">
      <c r="A139" s="1">
        <v>40514</v>
      </c>
      <c r="B139">
        <v>1</v>
      </c>
      <c r="C139">
        <v>1</v>
      </c>
      <c r="D139" s="2" t="str">
        <f t="shared" si="4"/>
        <v>2010/12/02 12:45:00</v>
      </c>
      <c r="F139" s="2" t="str">
        <v>2009/08/06 11:45:00</v>
      </c>
      <c r="G139">
        <f t="shared" si="5"/>
        <v>40031</v>
      </c>
    </row>
    <row r="140" spans="1:7" x14ac:dyDescent="0.25">
      <c r="A140" s="1">
        <v>40556</v>
      </c>
      <c r="B140">
        <v>1</v>
      </c>
      <c r="C140">
        <v>1</v>
      </c>
      <c r="D140" s="2" t="str">
        <f t="shared" si="4"/>
        <v>2011/01/13 12:45:00</v>
      </c>
      <c r="F140" s="2" t="str">
        <v>2009/09/03 11:45:00</v>
      </c>
      <c r="G140">
        <f t="shared" si="5"/>
        <v>40059</v>
      </c>
    </row>
    <row r="141" spans="1:7" x14ac:dyDescent="0.25">
      <c r="A141" s="1">
        <v>40577</v>
      </c>
      <c r="B141">
        <v>1</v>
      </c>
      <c r="C141">
        <v>1</v>
      </c>
      <c r="D141" s="2" t="str">
        <f t="shared" si="4"/>
        <v>2011/02/03 12:45:00</v>
      </c>
      <c r="F141" s="2" t="str">
        <v>2009/10/08 11:45:00</v>
      </c>
      <c r="G141">
        <f t="shared" si="5"/>
        <v>40094</v>
      </c>
    </row>
    <row r="142" spans="1:7" x14ac:dyDescent="0.25">
      <c r="A142" s="1">
        <v>40605</v>
      </c>
      <c r="B142">
        <v>1</v>
      </c>
      <c r="C142">
        <v>1</v>
      </c>
      <c r="D142" s="2" t="str">
        <f t="shared" si="4"/>
        <v>2011/03/03 12:45:00</v>
      </c>
      <c r="F142" s="2" t="str">
        <v>2009/11/05 12:45:00</v>
      </c>
      <c r="G142">
        <f t="shared" si="5"/>
        <v>40122</v>
      </c>
    </row>
    <row r="143" spans="1:7" x14ac:dyDescent="0.25">
      <c r="A143" s="1">
        <v>40640</v>
      </c>
      <c r="B143">
        <v>1.25</v>
      </c>
      <c r="C143">
        <v>1.25</v>
      </c>
      <c r="D143" s="2" t="str">
        <f t="shared" si="4"/>
        <v>2011/04/07 11:45:00</v>
      </c>
      <c r="F143" s="2" t="str">
        <v>2009/12/03 12:45:00</v>
      </c>
      <c r="G143">
        <f t="shared" si="5"/>
        <v>40150</v>
      </c>
    </row>
    <row r="144" spans="1:7" x14ac:dyDescent="0.25">
      <c r="A144" s="1">
        <v>40668</v>
      </c>
      <c r="B144">
        <v>1.25</v>
      </c>
      <c r="C144">
        <v>1.25</v>
      </c>
      <c r="D144" s="2" t="str">
        <f t="shared" si="4"/>
        <v>2011/05/05 11:45:00</v>
      </c>
      <c r="F144" s="2" t="str">
        <v>2010/01/14 12:45:00</v>
      </c>
      <c r="G144">
        <f t="shared" si="5"/>
        <v>40192</v>
      </c>
    </row>
    <row r="145" spans="1:7" x14ac:dyDescent="0.25">
      <c r="A145" s="1">
        <v>40703</v>
      </c>
      <c r="B145">
        <v>1.25</v>
      </c>
      <c r="C145">
        <v>1.25</v>
      </c>
      <c r="D145" s="2" t="str">
        <f t="shared" si="4"/>
        <v>2011/06/09 11:45:00</v>
      </c>
      <c r="F145" s="2" t="str">
        <v>2010/02/04 12:45:00</v>
      </c>
      <c r="G145">
        <f t="shared" si="5"/>
        <v>40213</v>
      </c>
    </row>
    <row r="146" spans="1:7" x14ac:dyDescent="0.25">
      <c r="A146" s="1">
        <v>40731</v>
      </c>
      <c r="B146">
        <v>1.5</v>
      </c>
      <c r="C146">
        <v>1.5</v>
      </c>
      <c r="D146" s="2" t="str">
        <f t="shared" si="4"/>
        <v>2011/07/07 11:45:00</v>
      </c>
      <c r="F146" s="2" t="str">
        <v>2010/03/04 12:45:00</v>
      </c>
      <c r="G146">
        <f t="shared" si="5"/>
        <v>40241</v>
      </c>
    </row>
    <row r="147" spans="1:7" x14ac:dyDescent="0.25">
      <c r="A147" s="1">
        <v>40759</v>
      </c>
      <c r="B147">
        <v>1.5</v>
      </c>
      <c r="C147">
        <v>1.5</v>
      </c>
      <c r="D147" s="2" t="str">
        <f t="shared" si="4"/>
        <v>2011/08/04 11:45:00</v>
      </c>
      <c r="F147" s="2" t="str">
        <v>2010/04/08 11:45:00</v>
      </c>
      <c r="G147">
        <f t="shared" si="5"/>
        <v>40276</v>
      </c>
    </row>
    <row r="148" spans="1:7" x14ac:dyDescent="0.25">
      <c r="A148" s="1">
        <v>40794</v>
      </c>
      <c r="B148">
        <v>1.5</v>
      </c>
      <c r="C148">
        <v>1.5</v>
      </c>
      <c r="D148" s="2" t="str">
        <f t="shared" si="4"/>
        <v>2011/09/08 11:45:00</v>
      </c>
      <c r="F148" s="2" t="str">
        <v>2010/05/06 11:45:00</v>
      </c>
      <c r="G148">
        <f t="shared" si="5"/>
        <v>40304</v>
      </c>
    </row>
    <row r="149" spans="1:7" x14ac:dyDescent="0.25">
      <c r="A149" s="1">
        <v>40822</v>
      </c>
      <c r="B149">
        <v>1.5</v>
      </c>
      <c r="C149">
        <v>1.5</v>
      </c>
      <c r="D149" s="2" t="str">
        <f t="shared" si="4"/>
        <v>2011/10/06 11:45:00</v>
      </c>
      <c r="F149" s="2" t="str">
        <v>2010/06/10 11:45:00</v>
      </c>
      <c r="G149">
        <f t="shared" si="5"/>
        <v>40339</v>
      </c>
    </row>
    <row r="150" spans="1:7" x14ac:dyDescent="0.25">
      <c r="A150" s="1">
        <v>40850</v>
      </c>
      <c r="B150">
        <v>1.5</v>
      </c>
      <c r="C150">
        <v>1.25</v>
      </c>
      <c r="D150" s="2" t="str">
        <f t="shared" si="4"/>
        <v>2011/11/03 12:45:00</v>
      </c>
      <c r="F150" s="2" t="str">
        <v>2010/07/08 11:45:00</v>
      </c>
      <c r="G150">
        <f t="shared" si="5"/>
        <v>40367</v>
      </c>
    </row>
    <row r="151" spans="1:7" x14ac:dyDescent="0.25">
      <c r="A151" s="1">
        <v>40885</v>
      </c>
      <c r="B151">
        <v>1</v>
      </c>
      <c r="C151">
        <v>1</v>
      </c>
      <c r="D151" s="2" t="str">
        <f t="shared" si="4"/>
        <v>2011/12/08 12:45:00</v>
      </c>
      <c r="F151" s="2" t="str">
        <v>2010/08/05 11:45:00</v>
      </c>
      <c r="G151">
        <f t="shared" si="5"/>
        <v>40395</v>
      </c>
    </row>
    <row r="152" spans="1:7" x14ac:dyDescent="0.25">
      <c r="A152" s="1">
        <v>40920</v>
      </c>
      <c r="B152">
        <v>1</v>
      </c>
      <c r="C152">
        <v>1</v>
      </c>
      <c r="D152" s="2" t="str">
        <f t="shared" si="4"/>
        <v>2012/01/12 12:45:00</v>
      </c>
      <c r="F152" s="2" t="str">
        <v>2010/09/02 11:45:00</v>
      </c>
      <c r="G152">
        <f t="shared" si="5"/>
        <v>40423</v>
      </c>
    </row>
    <row r="153" spans="1:7" x14ac:dyDescent="0.25">
      <c r="A153" s="1">
        <v>40948</v>
      </c>
      <c r="B153">
        <v>1</v>
      </c>
      <c r="C153">
        <v>1</v>
      </c>
      <c r="D153" s="2" t="str">
        <f t="shared" si="4"/>
        <v>2012/02/09 12:45:00</v>
      </c>
      <c r="F153" s="2" t="str">
        <v>2010/10/07 11:45:00</v>
      </c>
      <c r="G153">
        <f t="shared" si="5"/>
        <v>40458</v>
      </c>
    </row>
    <row r="154" spans="1:7" x14ac:dyDescent="0.25">
      <c r="A154" s="1">
        <v>40976</v>
      </c>
      <c r="B154">
        <v>1</v>
      </c>
      <c r="C154">
        <v>1</v>
      </c>
      <c r="D154" s="2" t="str">
        <f t="shared" si="4"/>
        <v>2012/03/08 12:45:00</v>
      </c>
      <c r="F154" s="2" t="str">
        <v>2010/11/04 12:45:00</v>
      </c>
      <c r="G154">
        <f t="shared" si="5"/>
        <v>40486</v>
      </c>
    </row>
    <row r="155" spans="1:7" x14ac:dyDescent="0.25">
      <c r="A155" s="1">
        <v>41003</v>
      </c>
      <c r="B155">
        <v>1</v>
      </c>
      <c r="C155">
        <v>1</v>
      </c>
      <c r="D155" s="2" t="str">
        <f t="shared" si="4"/>
        <v>2012/04/04 11:45:00</v>
      </c>
      <c r="F155" s="2" t="str">
        <v>2010/12/02 12:45:00</v>
      </c>
      <c r="G155">
        <f t="shared" si="5"/>
        <v>40514</v>
      </c>
    </row>
    <row r="156" spans="1:7" x14ac:dyDescent="0.25">
      <c r="A156" s="1">
        <v>41032</v>
      </c>
      <c r="B156">
        <v>1</v>
      </c>
      <c r="C156">
        <v>1</v>
      </c>
      <c r="D156" s="2" t="str">
        <f t="shared" si="4"/>
        <v>2012/05/03 11:45:00</v>
      </c>
      <c r="F156" s="2" t="str">
        <v>2011/01/13 12:45:00</v>
      </c>
      <c r="G156">
        <f t="shared" si="5"/>
        <v>40556</v>
      </c>
    </row>
    <row r="157" spans="1:7" x14ac:dyDescent="0.25">
      <c r="A157" s="1">
        <v>41066</v>
      </c>
      <c r="B157">
        <v>1</v>
      </c>
      <c r="C157">
        <v>1</v>
      </c>
      <c r="D157" s="2" t="str">
        <f t="shared" si="4"/>
        <v>2012/06/06 11:45:00</v>
      </c>
      <c r="F157" s="2" t="str">
        <v>2011/02/03 12:45:00</v>
      </c>
      <c r="G157">
        <f t="shared" si="5"/>
        <v>40577</v>
      </c>
    </row>
    <row r="158" spans="1:7" x14ac:dyDescent="0.25">
      <c r="A158" s="1">
        <v>41095</v>
      </c>
      <c r="B158">
        <v>0.75</v>
      </c>
      <c r="C158">
        <v>0.75</v>
      </c>
      <c r="D158" s="2" t="str">
        <f t="shared" si="4"/>
        <v>2012/07/05 11:45:00</v>
      </c>
      <c r="F158" s="2" t="str">
        <v>2011/03/03 12:45:00</v>
      </c>
      <c r="G158">
        <f t="shared" si="5"/>
        <v>40605</v>
      </c>
    </row>
    <row r="159" spans="1:7" x14ac:dyDescent="0.25">
      <c r="A159" s="1">
        <v>41123</v>
      </c>
      <c r="B159">
        <v>0.75</v>
      </c>
      <c r="C159">
        <v>0.75</v>
      </c>
      <c r="D159" s="2" t="str">
        <f t="shared" si="4"/>
        <v>2012/08/02 11:45:00</v>
      </c>
      <c r="F159" s="2" t="str">
        <v>2011/04/07 11:45:00</v>
      </c>
      <c r="G159">
        <f t="shared" si="5"/>
        <v>40640</v>
      </c>
    </row>
    <row r="160" spans="1:7" x14ac:dyDescent="0.25">
      <c r="A160" s="1">
        <v>41158</v>
      </c>
      <c r="B160">
        <v>0.5</v>
      </c>
      <c r="C160">
        <v>0.75</v>
      </c>
      <c r="D160" s="2" t="str">
        <f t="shared" si="4"/>
        <v>2012/09/06 11:45:00</v>
      </c>
      <c r="F160" s="2" t="str">
        <v>2011/05/05 11:45:00</v>
      </c>
      <c r="G160">
        <f t="shared" si="5"/>
        <v>40668</v>
      </c>
    </row>
    <row r="161" spans="1:7" x14ac:dyDescent="0.25">
      <c r="A161" s="1">
        <v>41186</v>
      </c>
      <c r="B161">
        <v>0.75</v>
      </c>
      <c r="C161">
        <v>0.75</v>
      </c>
      <c r="D161" s="2" t="str">
        <f t="shared" si="4"/>
        <v>2012/10/04 11:45:00</v>
      </c>
      <c r="F161" s="2" t="str">
        <v>2011/06/09 11:45:00</v>
      </c>
      <c r="G161">
        <f t="shared" si="5"/>
        <v>40703</v>
      </c>
    </row>
    <row r="162" spans="1:7" x14ac:dyDescent="0.25">
      <c r="A162" s="1">
        <v>41221</v>
      </c>
      <c r="B162">
        <v>0.75</v>
      </c>
      <c r="C162">
        <v>0.75</v>
      </c>
      <c r="D162" s="2" t="str">
        <f t="shared" si="4"/>
        <v>2012/11/08 12:45:00</v>
      </c>
      <c r="F162" s="2" t="str">
        <v>2011/07/07 11:45:00</v>
      </c>
      <c r="G162">
        <f t="shared" si="5"/>
        <v>40731</v>
      </c>
    </row>
    <row r="163" spans="1:7" x14ac:dyDescent="0.25">
      <c r="A163" s="1">
        <v>41249</v>
      </c>
      <c r="B163">
        <v>0.75</v>
      </c>
      <c r="C163">
        <v>0.75</v>
      </c>
      <c r="D163" s="2" t="str">
        <f t="shared" si="4"/>
        <v>2012/12/06 12:45:00</v>
      </c>
      <c r="F163" s="2" t="str">
        <v>2011/08/04 11:45:00</v>
      </c>
      <c r="G163">
        <f t="shared" si="5"/>
        <v>40759</v>
      </c>
    </row>
    <row r="164" spans="1:7" x14ac:dyDescent="0.25">
      <c r="A164" s="1">
        <v>41284</v>
      </c>
      <c r="B164">
        <v>0.75</v>
      </c>
      <c r="C164">
        <v>0.75</v>
      </c>
      <c r="D164" s="2" t="str">
        <f t="shared" si="4"/>
        <v>2013/01/10 12:45:00</v>
      </c>
      <c r="F164" s="2" t="str">
        <v>2011/09/08 11:45:00</v>
      </c>
      <c r="G164">
        <f t="shared" si="5"/>
        <v>40794</v>
      </c>
    </row>
    <row r="165" spans="1:7" x14ac:dyDescent="0.25">
      <c r="A165" s="1">
        <v>41312</v>
      </c>
      <c r="B165">
        <v>0.75</v>
      </c>
      <c r="C165">
        <v>0.75</v>
      </c>
      <c r="D165" s="2" t="str">
        <f t="shared" si="4"/>
        <v>2013/02/07 12:45:00</v>
      </c>
      <c r="F165" s="2" t="str">
        <v>2011/10/06 11:45:00</v>
      </c>
      <c r="G165">
        <f t="shared" si="5"/>
        <v>40822</v>
      </c>
    </row>
    <row r="166" spans="1:7" x14ac:dyDescent="0.25">
      <c r="A166" s="1">
        <v>41340</v>
      </c>
      <c r="B166">
        <v>0.75</v>
      </c>
      <c r="C166">
        <v>0.75</v>
      </c>
      <c r="D166" s="2" t="str">
        <f t="shared" si="4"/>
        <v>2013/03/07 12:45:00</v>
      </c>
      <c r="F166" s="2" t="str">
        <v>2011/11/03 12:45:00</v>
      </c>
      <c r="G166">
        <f t="shared" si="5"/>
        <v>40850</v>
      </c>
    </row>
    <row r="167" spans="1:7" x14ac:dyDescent="0.25">
      <c r="A167" s="1">
        <v>41368</v>
      </c>
      <c r="B167">
        <v>0.75</v>
      </c>
      <c r="C167">
        <v>0.75</v>
      </c>
      <c r="D167" s="2" t="str">
        <f t="shared" si="4"/>
        <v>2013/04/04 11:45:00</v>
      </c>
      <c r="F167" s="2" t="str">
        <v>2011/12/08 12:45:00</v>
      </c>
      <c r="G167">
        <f t="shared" si="5"/>
        <v>40885</v>
      </c>
    </row>
    <row r="168" spans="1:7" x14ac:dyDescent="0.25">
      <c r="A168" s="1">
        <v>41396</v>
      </c>
      <c r="B168">
        <v>0.5</v>
      </c>
      <c r="C168">
        <v>0.5</v>
      </c>
      <c r="D168" s="2" t="str">
        <f t="shared" si="4"/>
        <v>2013/05/02 11:45:00</v>
      </c>
      <c r="F168" s="2" t="str">
        <v>2012/01/12 12:45:00</v>
      </c>
      <c r="G168">
        <f t="shared" si="5"/>
        <v>40920</v>
      </c>
    </row>
    <row r="169" spans="1:7" x14ac:dyDescent="0.25">
      <c r="A169" s="1">
        <v>41431</v>
      </c>
      <c r="B169">
        <v>0.5</v>
      </c>
      <c r="C169">
        <v>0.5</v>
      </c>
      <c r="D169" s="2" t="str">
        <f t="shared" si="4"/>
        <v>2013/06/06 11:45:00</v>
      </c>
      <c r="F169" s="2" t="str">
        <v>2012/02/09 12:45:00</v>
      </c>
      <c r="G169">
        <f t="shared" si="5"/>
        <v>40948</v>
      </c>
    </row>
    <row r="170" spans="1:7" x14ac:dyDescent="0.25">
      <c r="A170" s="1">
        <v>41459</v>
      </c>
      <c r="B170">
        <v>0.5</v>
      </c>
      <c r="C170">
        <v>0.5</v>
      </c>
      <c r="D170" s="2" t="str">
        <f t="shared" si="4"/>
        <v>2013/07/04 11:45:00</v>
      </c>
      <c r="F170" s="2" t="str">
        <v>2012/03/08 12:45:00</v>
      </c>
      <c r="G170">
        <f t="shared" si="5"/>
        <v>40976</v>
      </c>
    </row>
    <row r="171" spans="1:7" x14ac:dyDescent="0.25">
      <c r="A171" s="1">
        <v>41487</v>
      </c>
      <c r="B171">
        <v>0.5</v>
      </c>
      <c r="C171">
        <v>0.5</v>
      </c>
      <c r="D171" s="2" t="str">
        <f t="shared" si="4"/>
        <v>2013/08/01 11:45:00</v>
      </c>
      <c r="F171" s="2" t="str">
        <v>2012/04/04 11:45:00</v>
      </c>
      <c r="G171">
        <f t="shared" si="5"/>
        <v>41003</v>
      </c>
    </row>
    <row r="172" spans="1:7" x14ac:dyDescent="0.25">
      <c r="A172" s="1">
        <v>41522</v>
      </c>
      <c r="B172">
        <v>0.5</v>
      </c>
      <c r="C172">
        <v>0.5</v>
      </c>
      <c r="D172" s="2" t="str">
        <f t="shared" si="4"/>
        <v>2013/09/05 11:45:00</v>
      </c>
      <c r="F172" s="2" t="str">
        <v>2012/05/03 11:45:00</v>
      </c>
      <c r="G172">
        <f t="shared" si="5"/>
        <v>41032</v>
      </c>
    </row>
    <row r="173" spans="1:7" x14ac:dyDescent="0.25">
      <c r="A173" s="1">
        <v>41549</v>
      </c>
      <c r="B173">
        <v>0.5</v>
      </c>
      <c r="C173">
        <v>0.5</v>
      </c>
      <c r="D173" s="2" t="str">
        <f t="shared" si="4"/>
        <v>2013/10/02 11:45:00</v>
      </c>
      <c r="F173" s="2" t="str">
        <v>2012/06/06 11:45:00</v>
      </c>
      <c r="G173">
        <f t="shared" si="5"/>
        <v>41066</v>
      </c>
    </row>
    <row r="174" spans="1:7" x14ac:dyDescent="0.25">
      <c r="A174" s="1">
        <v>41585</v>
      </c>
      <c r="B174">
        <v>0.5</v>
      </c>
      <c r="C174">
        <v>0.25</v>
      </c>
      <c r="D174" s="2" t="str">
        <f t="shared" si="4"/>
        <v>2013/11/07 12:45:00</v>
      </c>
      <c r="F174" s="2" t="str">
        <v>2012/07/05 11:45:00</v>
      </c>
      <c r="G174">
        <f t="shared" si="5"/>
        <v>41095</v>
      </c>
    </row>
    <row r="175" spans="1:7" x14ac:dyDescent="0.25">
      <c r="A175" s="1">
        <v>41613</v>
      </c>
      <c r="B175">
        <v>0.25</v>
      </c>
      <c r="C175">
        <v>0.25</v>
      </c>
      <c r="D175" s="2" t="str">
        <f t="shared" si="4"/>
        <v>2013/12/05 12:45:00</v>
      </c>
      <c r="F175" s="2" t="str">
        <v>2012/08/02 11:45:00</v>
      </c>
      <c r="G175">
        <f t="shared" si="5"/>
        <v>41123</v>
      </c>
    </row>
    <row r="176" spans="1:7" x14ac:dyDescent="0.25">
      <c r="A176" s="1">
        <v>41648</v>
      </c>
      <c r="B176">
        <v>0.25</v>
      </c>
      <c r="C176">
        <v>0.25</v>
      </c>
      <c r="D176" s="2" t="str">
        <f t="shared" si="4"/>
        <v>2014/01/09 12:45:00</v>
      </c>
      <c r="F176" s="2" t="str">
        <v>2012/09/06 11:45:00</v>
      </c>
      <c r="G176">
        <f t="shared" si="5"/>
        <v>41158</v>
      </c>
    </row>
    <row r="177" spans="1:7" x14ac:dyDescent="0.25">
      <c r="A177" s="1">
        <v>41676</v>
      </c>
      <c r="B177">
        <v>0.25</v>
      </c>
      <c r="C177">
        <v>0.25</v>
      </c>
      <c r="D177" s="2" t="str">
        <f t="shared" si="4"/>
        <v>2014/02/06 12:45:00</v>
      </c>
      <c r="F177" s="2" t="str">
        <v>2012/10/04 11:45:00</v>
      </c>
      <c r="G177">
        <f t="shared" si="5"/>
        <v>41186</v>
      </c>
    </row>
    <row r="178" spans="1:7" x14ac:dyDescent="0.25">
      <c r="A178" s="1">
        <v>41704</v>
      </c>
      <c r="B178">
        <v>0.25</v>
      </c>
      <c r="C178">
        <v>0.25</v>
      </c>
      <c r="D178" s="2" t="str">
        <f t="shared" si="4"/>
        <v>2014/03/06 12:45:00</v>
      </c>
      <c r="F178" s="2" t="str">
        <v>2012/11/08 12:45:00</v>
      </c>
      <c r="G178">
        <f t="shared" si="5"/>
        <v>41221</v>
      </c>
    </row>
    <row r="179" spans="1:7" x14ac:dyDescent="0.25">
      <c r="A179" s="1">
        <v>41732</v>
      </c>
      <c r="B179">
        <v>0.25</v>
      </c>
      <c r="C179">
        <v>0.25</v>
      </c>
      <c r="D179" s="2" t="str">
        <f t="shared" si="4"/>
        <v>2014/04/03 11:45:00</v>
      </c>
      <c r="F179" s="2" t="str">
        <v>2012/12/06 12:45:00</v>
      </c>
      <c r="G179">
        <f t="shared" si="5"/>
        <v>41249</v>
      </c>
    </row>
    <row r="180" spans="1:7" x14ac:dyDescent="0.25">
      <c r="A180" s="1">
        <v>41767</v>
      </c>
      <c r="B180">
        <v>0.25</v>
      </c>
      <c r="C180">
        <v>0.25</v>
      </c>
      <c r="D180" s="2" t="str">
        <f t="shared" si="4"/>
        <v>2014/05/08 11:45:00</v>
      </c>
      <c r="F180" s="2" t="str">
        <v>2013/01/10 12:45:00</v>
      </c>
      <c r="G180">
        <f t="shared" si="5"/>
        <v>41284</v>
      </c>
    </row>
    <row r="181" spans="1:7" x14ac:dyDescent="0.25">
      <c r="A181" s="1">
        <v>41795</v>
      </c>
      <c r="B181">
        <v>0.1</v>
      </c>
      <c r="C181">
        <v>0.15</v>
      </c>
      <c r="D181" s="2" t="str">
        <f t="shared" si="4"/>
        <v>2014/06/05 11:45:00</v>
      </c>
      <c r="F181" s="2" t="str">
        <v>2013/02/07 12:45:00</v>
      </c>
      <c r="G181">
        <f t="shared" si="5"/>
        <v>41312</v>
      </c>
    </row>
    <row r="182" spans="1:7" x14ac:dyDescent="0.25">
      <c r="A182" s="1">
        <v>41823</v>
      </c>
      <c r="B182">
        <v>0.15</v>
      </c>
      <c r="C182">
        <v>0.15</v>
      </c>
      <c r="D182" s="2" t="str">
        <f t="shared" si="4"/>
        <v>2014/07/03 11:45:00</v>
      </c>
      <c r="F182" s="2" t="str">
        <v>2013/03/07 12:45:00</v>
      </c>
      <c r="G182">
        <f t="shared" si="5"/>
        <v>41340</v>
      </c>
    </row>
    <row r="183" spans="1:7" x14ac:dyDescent="0.25">
      <c r="A183" s="1">
        <v>41858</v>
      </c>
      <c r="B183">
        <v>0.15</v>
      </c>
      <c r="C183">
        <v>0.15</v>
      </c>
      <c r="D183" s="2" t="str">
        <f t="shared" si="4"/>
        <v>2014/08/07 11:45:00</v>
      </c>
      <c r="F183" s="2" t="str">
        <v>2013/04/04 11:45:00</v>
      </c>
      <c r="G183">
        <f t="shared" si="5"/>
        <v>41368</v>
      </c>
    </row>
    <row r="184" spans="1:7" x14ac:dyDescent="0.25">
      <c r="A184" s="1">
        <v>41886</v>
      </c>
      <c r="B184">
        <v>0.15</v>
      </c>
      <c r="C184">
        <v>0.05</v>
      </c>
      <c r="D184" s="2" t="str">
        <f t="shared" si="4"/>
        <v>2014/09/04 11:45:00</v>
      </c>
      <c r="F184" s="2" t="str">
        <v>2013/05/02 11:45:00</v>
      </c>
      <c r="G184">
        <f t="shared" si="5"/>
        <v>41396</v>
      </c>
    </row>
    <row r="185" spans="1:7" x14ac:dyDescent="0.25">
      <c r="A185" s="1">
        <v>41914</v>
      </c>
      <c r="B185">
        <v>0.05</v>
      </c>
      <c r="C185">
        <v>0.05</v>
      </c>
      <c r="D185" s="2" t="str">
        <f t="shared" si="4"/>
        <v>2014/10/02 11:45:00</v>
      </c>
      <c r="F185" s="2" t="str">
        <v>2013/06/06 11:45:00</v>
      </c>
      <c r="G185">
        <f t="shared" si="5"/>
        <v>41431</v>
      </c>
    </row>
    <row r="186" spans="1:7" x14ac:dyDescent="0.25">
      <c r="A186" s="1">
        <v>41949</v>
      </c>
      <c r="B186">
        <v>0.05</v>
      </c>
      <c r="C186">
        <v>0.05</v>
      </c>
      <c r="D186" s="2" t="str">
        <f t="shared" si="4"/>
        <v>2014/11/06 12:45:00</v>
      </c>
      <c r="F186" s="2" t="str">
        <v>2013/07/04 11:45:00</v>
      </c>
      <c r="G186">
        <f t="shared" si="5"/>
        <v>41459</v>
      </c>
    </row>
    <row r="187" spans="1:7" x14ac:dyDescent="0.25">
      <c r="A187" s="1">
        <v>41977</v>
      </c>
      <c r="B187">
        <v>0.05</v>
      </c>
      <c r="C187">
        <v>0.05</v>
      </c>
      <c r="D187" s="2" t="str">
        <f t="shared" si="4"/>
        <v>2014/12/04 12:45:00</v>
      </c>
      <c r="F187" s="2" t="str">
        <v>2013/08/01 11:45:00</v>
      </c>
      <c r="G187">
        <f t="shared" si="5"/>
        <v>41487</v>
      </c>
    </row>
    <row r="188" spans="1:7" x14ac:dyDescent="0.25">
      <c r="A188" s="1">
        <v>42026</v>
      </c>
      <c r="B188">
        <v>0.05</v>
      </c>
      <c r="C188">
        <v>0.05</v>
      </c>
      <c r="D188" s="2" t="str">
        <f t="shared" si="4"/>
        <v>2015/01/22 12:45:00</v>
      </c>
      <c r="F188" s="2" t="str">
        <v>2013/09/05 11:45:00</v>
      </c>
      <c r="G188">
        <f t="shared" si="5"/>
        <v>41522</v>
      </c>
    </row>
    <row r="189" spans="1:7" x14ac:dyDescent="0.25">
      <c r="A189" s="1">
        <v>42068</v>
      </c>
      <c r="B189">
        <v>0.05</v>
      </c>
      <c r="C189">
        <v>0.05</v>
      </c>
      <c r="D189" s="2" t="str">
        <f t="shared" si="4"/>
        <v>2015/03/05 12:45:00</v>
      </c>
      <c r="F189" s="2" t="str">
        <v>2013/10/02 11:45:00</v>
      </c>
      <c r="G189">
        <f t="shared" si="5"/>
        <v>41549</v>
      </c>
    </row>
    <row r="190" spans="1:7" x14ac:dyDescent="0.25">
      <c r="A190" s="1">
        <v>42109</v>
      </c>
      <c r="B190">
        <v>0.05</v>
      </c>
      <c r="C190">
        <v>0.05</v>
      </c>
      <c r="D190" s="2" t="str">
        <f t="shared" si="4"/>
        <v>2015/04/15 11:45:00</v>
      </c>
      <c r="F190" s="2" t="str">
        <v>2013/11/07 12:45:00</v>
      </c>
      <c r="G190">
        <f t="shared" si="5"/>
        <v>41585</v>
      </c>
    </row>
    <row r="191" spans="1:7" x14ac:dyDescent="0.25">
      <c r="A191" s="1">
        <v>42158</v>
      </c>
      <c r="B191">
        <v>0.05</v>
      </c>
      <c r="C191">
        <v>0.05</v>
      </c>
      <c r="D191" s="2" t="str">
        <f t="shared" si="4"/>
        <v>2015/06/03 11:45:00</v>
      </c>
      <c r="F191" s="2" t="str">
        <v>2013/12/05 12:45:00</v>
      </c>
      <c r="G191">
        <f t="shared" si="5"/>
        <v>41613</v>
      </c>
    </row>
    <row r="192" spans="1:7" x14ac:dyDescent="0.25">
      <c r="A192" s="1">
        <v>42201</v>
      </c>
      <c r="B192">
        <v>0.05</v>
      </c>
      <c r="C192">
        <v>0.05</v>
      </c>
      <c r="D192" s="2" t="str">
        <f t="shared" si="4"/>
        <v>2015/07/16 11:45:00</v>
      </c>
      <c r="F192" s="2" t="str">
        <v>2014/01/09 12:45:00</v>
      </c>
      <c r="G192">
        <f t="shared" si="5"/>
        <v>41648</v>
      </c>
    </row>
    <row r="193" spans="1:7" x14ac:dyDescent="0.25">
      <c r="A193" s="1">
        <v>42250</v>
      </c>
      <c r="B193">
        <v>0.05</v>
      </c>
      <c r="C193">
        <v>0.05</v>
      </c>
      <c r="D193" s="2" t="str">
        <f t="shared" si="4"/>
        <v>2015/09/03 11:45:00</v>
      </c>
      <c r="F193" s="2" t="str">
        <v>2014/02/06 12:45:00</v>
      </c>
      <c r="G193">
        <f t="shared" si="5"/>
        <v>41676</v>
      </c>
    </row>
    <row r="194" spans="1:7" x14ac:dyDescent="0.25">
      <c r="A194" s="1">
        <v>42299</v>
      </c>
      <c r="B194">
        <v>0.05</v>
      </c>
      <c r="C194">
        <v>0.05</v>
      </c>
      <c r="D194" s="2" t="str">
        <f t="shared" ref="D194:D257" si="6">IFERROR(_xlfn.XLOOKUP(A194,$G:$G,$F:$F,""),"")</f>
        <v>2015/10/22 11:45:00</v>
      </c>
      <c r="F194" s="2" t="str">
        <v>2014/03/06 12:45:00</v>
      </c>
      <c r="G194">
        <f t="shared" ref="G194:G257" si="7">IFERROR(INT(F194),"")</f>
        <v>41704</v>
      </c>
    </row>
    <row r="195" spans="1:7" x14ac:dyDescent="0.25">
      <c r="A195" s="1">
        <v>42341</v>
      </c>
      <c r="B195">
        <v>0.05</v>
      </c>
      <c r="C195">
        <v>0.05</v>
      </c>
      <c r="D195" s="2" t="str">
        <f t="shared" si="6"/>
        <v>2015/12/03 12:45:00</v>
      </c>
      <c r="F195" s="2" t="str">
        <v>2014/04/03 11:45:00</v>
      </c>
      <c r="G195">
        <f t="shared" si="7"/>
        <v>41732</v>
      </c>
    </row>
    <row r="196" spans="1:7" x14ac:dyDescent="0.25">
      <c r="A196" s="1">
        <v>42390</v>
      </c>
      <c r="B196">
        <v>0.05</v>
      </c>
      <c r="C196">
        <v>0.05</v>
      </c>
      <c r="D196" s="2" t="str">
        <f t="shared" si="6"/>
        <v>2016/01/21 12:45:00</v>
      </c>
      <c r="F196" s="2" t="str">
        <v>2014/05/08 11:45:00</v>
      </c>
      <c r="G196">
        <f t="shared" si="7"/>
        <v>41767</v>
      </c>
    </row>
    <row r="197" spans="1:7" x14ac:dyDescent="0.25">
      <c r="A197" s="1">
        <v>42439</v>
      </c>
      <c r="B197">
        <v>0.05</v>
      </c>
      <c r="C197">
        <v>0</v>
      </c>
      <c r="D197" s="2" t="str">
        <f t="shared" si="6"/>
        <v>2016/03/10 12:45:00</v>
      </c>
      <c r="F197" s="2" t="str">
        <v>2014/06/05 11:45:00</v>
      </c>
      <c r="G197">
        <f t="shared" si="7"/>
        <v>41795</v>
      </c>
    </row>
    <row r="198" spans="1:7" x14ac:dyDescent="0.25">
      <c r="A198" s="1">
        <v>42481</v>
      </c>
      <c r="B198">
        <v>0</v>
      </c>
      <c r="C198">
        <v>0</v>
      </c>
      <c r="D198" s="2" t="str">
        <f t="shared" si="6"/>
        <v>2016/04/21 11:45:00</v>
      </c>
      <c r="F198" s="2" t="str">
        <v>2014/07/03 11:45:00</v>
      </c>
      <c r="G198">
        <f t="shared" si="7"/>
        <v>41823</v>
      </c>
    </row>
    <row r="199" spans="1:7" x14ac:dyDescent="0.25">
      <c r="A199" s="1">
        <v>42523</v>
      </c>
      <c r="B199">
        <v>0</v>
      </c>
      <c r="C199">
        <v>0</v>
      </c>
      <c r="D199" s="2" t="str">
        <f t="shared" si="6"/>
        <v>2016/06/02 11:45:00</v>
      </c>
      <c r="F199" s="2" t="str">
        <v>2014/08/07 11:45:00</v>
      </c>
      <c r="G199">
        <f t="shared" si="7"/>
        <v>41858</v>
      </c>
    </row>
    <row r="200" spans="1:7" x14ac:dyDescent="0.25">
      <c r="A200" s="1">
        <v>42572</v>
      </c>
      <c r="B200">
        <v>0</v>
      </c>
      <c r="C200">
        <v>0</v>
      </c>
      <c r="D200" s="2" t="str">
        <f t="shared" si="6"/>
        <v>2016/07/21 11:45:00</v>
      </c>
      <c r="F200" s="2" t="str">
        <v>2014/09/04 11:45:00</v>
      </c>
      <c r="G200">
        <f t="shared" si="7"/>
        <v>41886</v>
      </c>
    </row>
    <row r="201" spans="1:7" x14ac:dyDescent="0.25">
      <c r="A201" s="1">
        <v>42621</v>
      </c>
      <c r="B201">
        <v>0</v>
      </c>
      <c r="C201">
        <v>0</v>
      </c>
      <c r="D201" s="2" t="str">
        <f t="shared" si="6"/>
        <v>2016/09/08 11:45:00</v>
      </c>
      <c r="F201" s="2" t="str">
        <v>2014/10/02 11:45:00</v>
      </c>
      <c r="G201">
        <f t="shared" si="7"/>
        <v>41914</v>
      </c>
    </row>
    <row r="202" spans="1:7" x14ac:dyDescent="0.25">
      <c r="A202" s="1">
        <v>42663</v>
      </c>
      <c r="B202">
        <v>0</v>
      </c>
      <c r="C202">
        <v>0</v>
      </c>
      <c r="D202" s="2" t="str">
        <f t="shared" si="6"/>
        <v>2016/10/20 11:45:00</v>
      </c>
      <c r="F202" s="2" t="str">
        <v>2014/11/06 12:45:00</v>
      </c>
      <c r="G202">
        <f t="shared" si="7"/>
        <v>41949</v>
      </c>
    </row>
    <row r="203" spans="1:7" x14ac:dyDescent="0.25">
      <c r="A203" s="1">
        <v>42712</v>
      </c>
      <c r="B203">
        <v>0</v>
      </c>
      <c r="C203">
        <v>0</v>
      </c>
      <c r="D203" s="2" t="str">
        <f t="shared" si="6"/>
        <v>2016/12/08 12:45:00</v>
      </c>
      <c r="F203" s="2" t="str">
        <v>2014/12/04 12:45:00</v>
      </c>
      <c r="G203">
        <f t="shared" si="7"/>
        <v>41977</v>
      </c>
    </row>
    <row r="204" spans="1:7" x14ac:dyDescent="0.25">
      <c r="A204" s="1">
        <v>42754</v>
      </c>
      <c r="B204">
        <v>0</v>
      </c>
      <c r="C204">
        <v>0</v>
      </c>
      <c r="D204" s="2" t="str">
        <f t="shared" si="6"/>
        <v>2017/01/19 12:45:00</v>
      </c>
      <c r="F204" s="2" t="str">
        <v>2015/01/22 12:45:00</v>
      </c>
      <c r="G204">
        <f t="shared" si="7"/>
        <v>42026</v>
      </c>
    </row>
    <row r="205" spans="1:7" x14ac:dyDescent="0.25">
      <c r="A205" s="1">
        <v>42803</v>
      </c>
      <c r="B205">
        <v>0</v>
      </c>
      <c r="C205">
        <v>0</v>
      </c>
      <c r="D205" s="2" t="str">
        <f t="shared" si="6"/>
        <v>2017/03/09 12:45:00</v>
      </c>
      <c r="F205" s="2" t="str">
        <v>2015/03/05 12:45:00</v>
      </c>
      <c r="G205">
        <f t="shared" si="7"/>
        <v>42068</v>
      </c>
    </row>
    <row r="206" spans="1:7" x14ac:dyDescent="0.25">
      <c r="A206" s="1">
        <v>42852</v>
      </c>
      <c r="B206">
        <v>0</v>
      </c>
      <c r="C206">
        <v>0</v>
      </c>
      <c r="D206" s="2" t="str">
        <f t="shared" si="6"/>
        <v>2017/04/27 11:45:00</v>
      </c>
      <c r="F206" s="2" t="str">
        <v>2015/04/15 11:45:00</v>
      </c>
      <c r="G206">
        <f t="shared" si="7"/>
        <v>42109</v>
      </c>
    </row>
    <row r="207" spans="1:7" x14ac:dyDescent="0.25">
      <c r="A207" s="1">
        <v>42894</v>
      </c>
      <c r="B207">
        <v>0</v>
      </c>
      <c r="C207">
        <v>0</v>
      </c>
      <c r="D207" s="2" t="str">
        <f t="shared" si="6"/>
        <v>2017/06/08 11:45:00</v>
      </c>
      <c r="F207" s="2" t="str">
        <v>2015/06/03 11:45:00</v>
      </c>
      <c r="G207">
        <f t="shared" si="7"/>
        <v>42158</v>
      </c>
    </row>
    <row r="208" spans="1:7" x14ac:dyDescent="0.25">
      <c r="A208" s="1">
        <v>42936</v>
      </c>
      <c r="B208">
        <v>0</v>
      </c>
      <c r="C208">
        <v>0</v>
      </c>
      <c r="D208" s="2" t="str">
        <f t="shared" si="6"/>
        <v>2017/07/20 11:45:00</v>
      </c>
      <c r="F208" s="2" t="str">
        <v>2015/07/16 11:45:00</v>
      </c>
      <c r="G208">
        <f t="shared" si="7"/>
        <v>42201</v>
      </c>
    </row>
    <row r="209" spans="1:7" x14ac:dyDescent="0.25">
      <c r="A209" s="1">
        <v>42985</v>
      </c>
      <c r="B209">
        <v>0</v>
      </c>
      <c r="C209">
        <v>0</v>
      </c>
      <c r="D209" s="2" t="str">
        <f t="shared" si="6"/>
        <v>2017/09/07 11:45:00</v>
      </c>
      <c r="F209" s="2" t="str">
        <v>2015/09/03 11:45:00</v>
      </c>
      <c r="G209">
        <f t="shared" si="7"/>
        <v>42250</v>
      </c>
    </row>
    <row r="210" spans="1:7" x14ac:dyDescent="0.25">
      <c r="A210" s="1">
        <v>43034</v>
      </c>
      <c r="B210">
        <v>0</v>
      </c>
      <c r="C210">
        <v>0</v>
      </c>
      <c r="D210" s="2" t="str">
        <f t="shared" si="6"/>
        <v>2017/10/26 11:45:00</v>
      </c>
      <c r="F210" s="2" t="str">
        <v>2015/10/22 11:45:00</v>
      </c>
      <c r="G210">
        <f t="shared" si="7"/>
        <v>42299</v>
      </c>
    </row>
    <row r="211" spans="1:7" x14ac:dyDescent="0.25">
      <c r="A211" s="1">
        <v>43083</v>
      </c>
      <c r="B211">
        <v>0</v>
      </c>
      <c r="C211">
        <v>0</v>
      </c>
      <c r="D211" s="2" t="str">
        <f t="shared" si="6"/>
        <v>2017/12/14 12:45:00</v>
      </c>
      <c r="F211" s="2" t="str">
        <v>2015/12/03 12:45:00</v>
      </c>
      <c r="G211">
        <f t="shared" si="7"/>
        <v>42341</v>
      </c>
    </row>
    <row r="212" spans="1:7" x14ac:dyDescent="0.25">
      <c r="A212" s="1">
        <v>43125</v>
      </c>
      <c r="B212">
        <v>0</v>
      </c>
      <c r="C212">
        <v>0</v>
      </c>
      <c r="D212" s="2" t="str">
        <f t="shared" si="6"/>
        <v>2018/01/25 12:45:00</v>
      </c>
      <c r="F212" s="2" t="str">
        <v>2016/01/21 12:45:00</v>
      </c>
      <c r="G212">
        <f t="shared" si="7"/>
        <v>42390</v>
      </c>
    </row>
    <row r="213" spans="1:7" x14ac:dyDescent="0.25">
      <c r="A213" s="1">
        <v>43167</v>
      </c>
      <c r="B213">
        <v>0</v>
      </c>
      <c r="C213">
        <v>0</v>
      </c>
      <c r="D213" s="2" t="str">
        <f t="shared" si="6"/>
        <v>2018/03/08 12:45:00</v>
      </c>
      <c r="F213" s="2" t="str">
        <v>2016/03/10 12:45:00</v>
      </c>
      <c r="G213">
        <f t="shared" si="7"/>
        <v>42439</v>
      </c>
    </row>
    <row r="214" spans="1:7" x14ac:dyDescent="0.25">
      <c r="A214" s="1">
        <v>43216</v>
      </c>
      <c r="B214">
        <v>0</v>
      </c>
      <c r="C214">
        <v>0</v>
      </c>
      <c r="D214" s="2" t="str">
        <f t="shared" si="6"/>
        <v>2018/04/26 11:45:00</v>
      </c>
      <c r="F214" s="2" t="str">
        <v>2016/04/21 11:45:00</v>
      </c>
      <c r="G214">
        <f t="shared" si="7"/>
        <v>42481</v>
      </c>
    </row>
    <row r="215" spans="1:7" x14ac:dyDescent="0.25">
      <c r="A215" s="1">
        <v>43265</v>
      </c>
      <c r="B215">
        <v>0</v>
      </c>
      <c r="C215">
        <v>0</v>
      </c>
      <c r="D215" s="2" t="str">
        <f t="shared" si="6"/>
        <v>2018/06/14 11:45:00</v>
      </c>
      <c r="F215" s="2" t="str">
        <v>2016/06/02 11:45:00</v>
      </c>
      <c r="G215">
        <f t="shared" si="7"/>
        <v>42523</v>
      </c>
    </row>
    <row r="216" spans="1:7" x14ac:dyDescent="0.25">
      <c r="A216" s="1">
        <v>43307</v>
      </c>
      <c r="B216">
        <v>0</v>
      </c>
      <c r="C216">
        <v>0</v>
      </c>
      <c r="D216" s="2" t="str">
        <f t="shared" si="6"/>
        <v>2018/07/26 11:45:00</v>
      </c>
      <c r="F216" s="2" t="str">
        <v>2016/07/21 11:45:00</v>
      </c>
      <c r="G216">
        <f t="shared" si="7"/>
        <v>42572</v>
      </c>
    </row>
    <row r="217" spans="1:7" x14ac:dyDescent="0.25">
      <c r="A217" s="1">
        <v>43356</v>
      </c>
      <c r="B217">
        <v>0</v>
      </c>
      <c r="C217">
        <v>0</v>
      </c>
      <c r="D217" s="2" t="str">
        <f t="shared" si="6"/>
        <v>2018/09/13 11:45:00</v>
      </c>
      <c r="F217" s="2" t="str">
        <v>2016/09/08 11:45:00</v>
      </c>
      <c r="G217">
        <f t="shared" si="7"/>
        <v>42621</v>
      </c>
    </row>
    <row r="218" spans="1:7" x14ac:dyDescent="0.25">
      <c r="A218" s="1">
        <v>43398</v>
      </c>
      <c r="B218">
        <v>0</v>
      </c>
      <c r="C218">
        <v>0</v>
      </c>
      <c r="D218" s="2" t="str">
        <f t="shared" si="6"/>
        <v>2018/10/25 11:45:00</v>
      </c>
      <c r="F218" s="2" t="str">
        <v>2016/10/20 11:45:00</v>
      </c>
      <c r="G218">
        <f t="shared" si="7"/>
        <v>42663</v>
      </c>
    </row>
    <row r="219" spans="1:7" x14ac:dyDescent="0.25">
      <c r="A219" s="1">
        <v>43447</v>
      </c>
      <c r="B219">
        <v>0</v>
      </c>
      <c r="C219">
        <v>0</v>
      </c>
      <c r="D219" s="2" t="str">
        <f t="shared" si="6"/>
        <v>2018/12/13 12:45:00</v>
      </c>
      <c r="F219" s="2" t="str">
        <v>2016/12/08 12:45:00</v>
      </c>
      <c r="G219">
        <f t="shared" si="7"/>
        <v>42712</v>
      </c>
    </row>
    <row r="220" spans="1:7" x14ac:dyDescent="0.25">
      <c r="A220" s="1">
        <v>43489</v>
      </c>
      <c r="B220">
        <v>0</v>
      </c>
      <c r="C220">
        <v>0</v>
      </c>
      <c r="D220" s="2" t="str">
        <f t="shared" si="6"/>
        <v>2019/01/24 12:45:00</v>
      </c>
      <c r="F220" s="2" t="str">
        <v>2017/01/19 12:45:00</v>
      </c>
      <c r="G220">
        <f t="shared" si="7"/>
        <v>42754</v>
      </c>
    </row>
    <row r="221" spans="1:7" x14ac:dyDescent="0.25">
      <c r="A221" s="1">
        <v>43531</v>
      </c>
      <c r="B221">
        <v>0</v>
      </c>
      <c r="C221">
        <v>0</v>
      </c>
      <c r="D221" s="2" t="str">
        <f t="shared" si="6"/>
        <v>2019/03/07 12:45:00</v>
      </c>
      <c r="F221" s="2" t="str">
        <v>2017/03/09 12:45:00</v>
      </c>
      <c r="G221">
        <f t="shared" si="7"/>
        <v>42803</v>
      </c>
    </row>
    <row r="222" spans="1:7" x14ac:dyDescent="0.25">
      <c r="A222" s="1">
        <v>43565</v>
      </c>
      <c r="B222">
        <v>0</v>
      </c>
      <c r="C222">
        <v>0</v>
      </c>
      <c r="D222" s="2" t="str">
        <f t="shared" si="6"/>
        <v>2019/04/10 11:45:00</v>
      </c>
      <c r="F222" s="2" t="str">
        <v>2017/04/27 11:45:00</v>
      </c>
      <c r="G222">
        <f t="shared" si="7"/>
        <v>42852</v>
      </c>
    </row>
    <row r="223" spans="1:7" x14ac:dyDescent="0.25">
      <c r="A223" s="1">
        <v>43622</v>
      </c>
      <c r="B223">
        <v>0</v>
      </c>
      <c r="C223">
        <v>0</v>
      </c>
      <c r="D223" s="2" t="str">
        <f t="shared" si="6"/>
        <v>2019/06/06 11:45:00</v>
      </c>
      <c r="F223" s="2" t="str">
        <v>2017/06/08 11:45:00</v>
      </c>
      <c r="G223">
        <f t="shared" si="7"/>
        <v>42894</v>
      </c>
    </row>
    <row r="224" spans="1:7" x14ac:dyDescent="0.25">
      <c r="A224" s="1">
        <v>43671</v>
      </c>
      <c r="B224">
        <v>0</v>
      </c>
      <c r="C224">
        <v>0</v>
      </c>
      <c r="D224" s="2" t="str">
        <f t="shared" si="6"/>
        <v>2019/07/25 11:45:00</v>
      </c>
      <c r="F224" s="2" t="str">
        <v>2017/07/20 11:45:00</v>
      </c>
      <c r="G224">
        <f t="shared" si="7"/>
        <v>42936</v>
      </c>
    </row>
    <row r="225" spans="1:7" x14ac:dyDescent="0.25">
      <c r="A225" s="1">
        <v>43720</v>
      </c>
      <c r="B225">
        <v>0</v>
      </c>
      <c r="C225">
        <v>0</v>
      </c>
      <c r="D225" s="2" t="str">
        <f t="shared" si="6"/>
        <v>2019/09/12 11:45:00</v>
      </c>
      <c r="F225" s="2" t="str">
        <v>2017/09/07 11:45:00</v>
      </c>
      <c r="G225">
        <f t="shared" si="7"/>
        <v>42985</v>
      </c>
    </row>
    <row r="226" spans="1:7" x14ac:dyDescent="0.25">
      <c r="A226" s="1">
        <v>43762</v>
      </c>
      <c r="B226">
        <v>0</v>
      </c>
      <c r="C226">
        <v>0</v>
      </c>
      <c r="D226" s="2" t="str">
        <f t="shared" si="6"/>
        <v>2019/10/24 11:45:00</v>
      </c>
      <c r="F226" s="2" t="str">
        <v>2017/10/26 11:45:00</v>
      </c>
      <c r="G226">
        <f t="shared" si="7"/>
        <v>43034</v>
      </c>
    </row>
    <row r="227" spans="1:7" x14ac:dyDescent="0.25">
      <c r="A227" s="1">
        <v>43811</v>
      </c>
      <c r="B227">
        <v>0</v>
      </c>
      <c r="C227">
        <v>0</v>
      </c>
      <c r="D227" s="2" t="str">
        <f t="shared" si="6"/>
        <v>2019/12/12 12:45:00</v>
      </c>
      <c r="F227" s="2" t="str">
        <v>2017/12/14 12:45:00</v>
      </c>
      <c r="G227">
        <f t="shared" si="7"/>
        <v>43083</v>
      </c>
    </row>
    <row r="228" spans="1:7" x14ac:dyDescent="0.25">
      <c r="A228" s="1">
        <v>43853</v>
      </c>
      <c r="B228">
        <v>0</v>
      </c>
      <c r="C228">
        <v>0</v>
      </c>
      <c r="D228" s="2" t="str">
        <f t="shared" si="6"/>
        <v>2020/01/23 12:45:00</v>
      </c>
      <c r="F228" s="2" t="str">
        <v>2018/01/25 12:45:00</v>
      </c>
      <c r="G228">
        <f t="shared" si="7"/>
        <v>43125</v>
      </c>
    </row>
    <row r="229" spans="1:7" x14ac:dyDescent="0.25">
      <c r="A229" s="1">
        <v>43902</v>
      </c>
      <c r="B229">
        <v>0</v>
      </c>
      <c r="C229">
        <v>0</v>
      </c>
      <c r="D229" s="2" t="str">
        <f t="shared" si="6"/>
        <v>2020/03/12 12:45:00</v>
      </c>
      <c r="F229" s="2" t="str">
        <v>2018/03/08 12:45:00</v>
      </c>
      <c r="G229">
        <f t="shared" si="7"/>
        <v>43167</v>
      </c>
    </row>
    <row r="230" spans="1:7" x14ac:dyDescent="0.25">
      <c r="A230" s="1">
        <v>43951</v>
      </c>
      <c r="B230">
        <v>0</v>
      </c>
      <c r="C230">
        <v>0</v>
      </c>
      <c r="D230" s="2" t="str">
        <f t="shared" si="6"/>
        <v>2020/04/30 11:45:00</v>
      </c>
      <c r="F230" s="2" t="str">
        <v>2018/04/26 11:45:00</v>
      </c>
      <c r="G230">
        <f t="shared" si="7"/>
        <v>43216</v>
      </c>
    </row>
    <row r="231" spans="1:7" x14ac:dyDescent="0.25">
      <c r="A231" s="1">
        <v>43986</v>
      </c>
      <c r="B231">
        <v>0</v>
      </c>
      <c r="C231">
        <v>0</v>
      </c>
      <c r="D231" s="2" t="str">
        <f t="shared" si="6"/>
        <v>2020/06/04 11:45:00</v>
      </c>
      <c r="F231" s="2" t="str">
        <v>2018/06/14 11:45:00</v>
      </c>
      <c r="G231">
        <f t="shared" si="7"/>
        <v>43265</v>
      </c>
    </row>
    <row r="232" spans="1:7" x14ac:dyDescent="0.25">
      <c r="A232" s="1">
        <v>44028</v>
      </c>
      <c r="B232">
        <v>0</v>
      </c>
      <c r="C232">
        <v>0</v>
      </c>
      <c r="D232" s="2" t="str">
        <f t="shared" si="6"/>
        <v>2020/07/16 11:45:00</v>
      </c>
      <c r="F232" s="2" t="str">
        <v>2018/07/26 11:45:00</v>
      </c>
      <c r="G232">
        <f t="shared" si="7"/>
        <v>43307</v>
      </c>
    </row>
    <row r="233" spans="1:7" x14ac:dyDescent="0.25">
      <c r="A233" s="1">
        <v>44084</v>
      </c>
      <c r="B233">
        <v>0</v>
      </c>
      <c r="C233">
        <v>0</v>
      </c>
      <c r="D233" s="2" t="str">
        <f t="shared" si="6"/>
        <v>2020/09/10 11:45:00</v>
      </c>
      <c r="F233" s="2" t="str">
        <v>2018/09/13 11:45:00</v>
      </c>
      <c r="G233">
        <f t="shared" si="7"/>
        <v>43356</v>
      </c>
    </row>
    <row r="234" spans="1:7" x14ac:dyDescent="0.25">
      <c r="A234" s="1">
        <v>44133</v>
      </c>
      <c r="B234">
        <v>0</v>
      </c>
      <c r="C234">
        <v>0</v>
      </c>
      <c r="D234" s="2" t="str">
        <f t="shared" si="6"/>
        <v>2020/10/29 12:45:00</v>
      </c>
      <c r="F234" s="2" t="str">
        <v>2018/10/25 11:45:00</v>
      </c>
      <c r="G234">
        <f t="shared" si="7"/>
        <v>43398</v>
      </c>
    </row>
    <row r="235" spans="1:7" x14ac:dyDescent="0.25">
      <c r="A235" s="1">
        <v>44175</v>
      </c>
      <c r="B235">
        <v>0</v>
      </c>
      <c r="C235">
        <v>0</v>
      </c>
      <c r="D235" s="2" t="str">
        <f t="shared" si="6"/>
        <v>2020/12/10 12:45:00</v>
      </c>
      <c r="F235" s="2" t="str">
        <v>2018/12/13 12:45:00</v>
      </c>
      <c r="G235">
        <f t="shared" si="7"/>
        <v>43447</v>
      </c>
    </row>
    <row r="236" spans="1:7" x14ac:dyDescent="0.25">
      <c r="A236" s="1">
        <v>44217</v>
      </c>
      <c r="B236">
        <v>0</v>
      </c>
      <c r="C236">
        <v>0</v>
      </c>
      <c r="D236" s="2" t="str">
        <f t="shared" si="6"/>
        <v>2021/01/21 12:45:00</v>
      </c>
      <c r="F236" s="2" t="str">
        <v>2019/01/24 12:45:00</v>
      </c>
      <c r="G236">
        <f t="shared" si="7"/>
        <v>43489</v>
      </c>
    </row>
    <row r="237" spans="1:7" x14ac:dyDescent="0.25">
      <c r="A237" s="1">
        <v>44266</v>
      </c>
      <c r="B237">
        <v>0</v>
      </c>
      <c r="C237">
        <v>0</v>
      </c>
      <c r="D237" s="2" t="str">
        <f t="shared" si="6"/>
        <v>2021/03/11 12:45:00</v>
      </c>
      <c r="F237" s="2" t="str">
        <v>2019/03/07 12:45:00</v>
      </c>
      <c r="G237">
        <f t="shared" si="7"/>
        <v>43531</v>
      </c>
    </row>
    <row r="238" spans="1:7" x14ac:dyDescent="0.25">
      <c r="A238" s="1">
        <v>44308</v>
      </c>
      <c r="B238">
        <v>0</v>
      </c>
      <c r="C238">
        <v>0</v>
      </c>
      <c r="D238" s="2" t="str">
        <f t="shared" si="6"/>
        <v>2021/04/22 11:45:00</v>
      </c>
      <c r="F238" s="2" t="str">
        <v>2019/04/10 11:45:00</v>
      </c>
      <c r="G238">
        <f t="shared" si="7"/>
        <v>43565</v>
      </c>
    </row>
    <row r="239" spans="1:7" x14ac:dyDescent="0.25">
      <c r="A239" s="1">
        <v>44357</v>
      </c>
      <c r="B239">
        <v>0</v>
      </c>
      <c r="C239">
        <v>0</v>
      </c>
      <c r="D239" s="2" t="str">
        <f t="shared" si="6"/>
        <v>2021/06/10 11:45:00</v>
      </c>
      <c r="F239" s="2" t="str">
        <v>2019/06/06 11:45:00</v>
      </c>
      <c r="G239">
        <f t="shared" si="7"/>
        <v>43622</v>
      </c>
    </row>
    <row r="240" spans="1:7" x14ac:dyDescent="0.25">
      <c r="A240" s="1">
        <v>44399</v>
      </c>
      <c r="B240">
        <v>0</v>
      </c>
      <c r="C240">
        <v>0</v>
      </c>
      <c r="D240" s="2" t="str">
        <f t="shared" si="6"/>
        <v>2021/07/22 11:45:00</v>
      </c>
      <c r="F240" s="2" t="str">
        <v>2019/07/25 11:45:00</v>
      </c>
      <c r="G240">
        <f t="shared" si="7"/>
        <v>43671</v>
      </c>
    </row>
    <row r="241" spans="1:7" x14ac:dyDescent="0.25">
      <c r="A241" s="1">
        <v>44448</v>
      </c>
      <c r="B241">
        <v>0</v>
      </c>
      <c r="C241">
        <v>0</v>
      </c>
      <c r="D241" s="2" t="str">
        <f t="shared" si="6"/>
        <v>2021/09/09 11:45:00</v>
      </c>
      <c r="F241" s="2" t="str">
        <v>2019/09/12 11:45:00</v>
      </c>
      <c r="G241">
        <f t="shared" si="7"/>
        <v>43720</v>
      </c>
    </row>
    <row r="242" spans="1:7" x14ac:dyDescent="0.25">
      <c r="A242" s="1">
        <v>44497</v>
      </c>
      <c r="B242">
        <v>0</v>
      </c>
      <c r="C242">
        <v>0</v>
      </c>
      <c r="D242" s="2" t="str">
        <f t="shared" si="6"/>
        <v>2021/10/28 11:45:00</v>
      </c>
      <c r="F242" s="2" t="str">
        <v>2019/10/24 11:45:00</v>
      </c>
      <c r="G242">
        <f t="shared" si="7"/>
        <v>43762</v>
      </c>
    </row>
    <row r="243" spans="1:7" x14ac:dyDescent="0.25">
      <c r="A243" s="1">
        <v>44546</v>
      </c>
      <c r="B243">
        <v>0</v>
      </c>
      <c r="C243">
        <v>0</v>
      </c>
      <c r="D243" s="2" t="str">
        <f t="shared" si="6"/>
        <v>2021/12/16 12:45:00</v>
      </c>
      <c r="F243" s="2" t="str">
        <v>2019/12/12 12:45:00</v>
      </c>
      <c r="G243">
        <f t="shared" si="7"/>
        <v>43811</v>
      </c>
    </row>
    <row r="244" spans="1:7" x14ac:dyDescent="0.25">
      <c r="A244" s="1">
        <v>44595</v>
      </c>
      <c r="B244">
        <v>0</v>
      </c>
      <c r="C244">
        <v>0</v>
      </c>
      <c r="D244" s="2" t="str">
        <f t="shared" si="6"/>
        <v>2022/02/03 12:45:00</v>
      </c>
      <c r="F244" s="2" t="str">
        <v>2020/01/23 12:45:00</v>
      </c>
      <c r="G244">
        <f t="shared" si="7"/>
        <v>43853</v>
      </c>
    </row>
    <row r="245" spans="1:7" x14ac:dyDescent="0.25">
      <c r="A245" s="1">
        <v>44630</v>
      </c>
      <c r="B245">
        <v>0</v>
      </c>
      <c r="C245">
        <v>0</v>
      </c>
      <c r="D245" s="2" t="str">
        <f t="shared" si="6"/>
        <v>2022/03/10 12:45:00</v>
      </c>
      <c r="F245" s="2" t="str">
        <v>2020/03/12 12:45:00</v>
      </c>
      <c r="G245">
        <f t="shared" si="7"/>
        <v>43902</v>
      </c>
    </row>
    <row r="246" spans="1:7" x14ac:dyDescent="0.25">
      <c r="A246" s="1">
        <v>44665</v>
      </c>
      <c r="B246">
        <v>0</v>
      </c>
      <c r="C246">
        <v>0</v>
      </c>
      <c r="D246" s="2" t="str">
        <f t="shared" si="6"/>
        <v>2022/04/14 11:45:00</v>
      </c>
      <c r="F246" s="2" t="str">
        <v>2020/04/30 11:45:00</v>
      </c>
      <c r="G246">
        <f t="shared" si="7"/>
        <v>43951</v>
      </c>
    </row>
    <row r="247" spans="1:7" x14ac:dyDescent="0.25">
      <c r="A247" s="1">
        <v>44721</v>
      </c>
      <c r="B247">
        <v>0</v>
      </c>
      <c r="C247">
        <v>0</v>
      </c>
      <c r="D247" s="2" t="str">
        <f t="shared" si="6"/>
        <v>2022/06/09 11:45:00</v>
      </c>
      <c r="F247" s="2" t="str">
        <v>2020/06/04 11:45:00</v>
      </c>
      <c r="G247">
        <f t="shared" si="7"/>
        <v>43986</v>
      </c>
    </row>
    <row r="248" spans="1:7" x14ac:dyDescent="0.25">
      <c r="A248" s="1">
        <v>44763</v>
      </c>
      <c r="B248">
        <v>0.25</v>
      </c>
      <c r="C248">
        <v>0.5</v>
      </c>
      <c r="D248" s="2" t="str">
        <f t="shared" si="6"/>
        <v>2022/07/21 12:15:00</v>
      </c>
      <c r="F248" s="2" t="str">
        <v>2020/07/16 11:45:00</v>
      </c>
      <c r="G248">
        <f t="shared" si="7"/>
        <v>44028</v>
      </c>
    </row>
    <row r="249" spans="1:7" x14ac:dyDescent="0.25">
      <c r="A249" s="1">
        <v>44812</v>
      </c>
      <c r="B249">
        <v>1.25</v>
      </c>
      <c r="C249">
        <v>1.25</v>
      </c>
      <c r="D249" s="2" t="str">
        <f t="shared" si="6"/>
        <v>2022/09/08 12:15:00</v>
      </c>
      <c r="F249" s="2" t="str">
        <v>2020/09/10 11:45:00</v>
      </c>
      <c r="G249">
        <f t="shared" si="7"/>
        <v>44084</v>
      </c>
    </row>
    <row r="250" spans="1:7" x14ac:dyDescent="0.25">
      <c r="A250" s="1">
        <v>44861</v>
      </c>
      <c r="B250">
        <v>2</v>
      </c>
      <c r="C250">
        <v>2</v>
      </c>
      <c r="D250" s="2" t="str">
        <f t="shared" si="6"/>
        <v>2022/10/27 12:15:00</v>
      </c>
      <c r="F250" s="2" t="str">
        <v>2020/10/29 12:45:00</v>
      </c>
      <c r="G250">
        <f t="shared" si="7"/>
        <v>44133</v>
      </c>
    </row>
    <row r="251" spans="1:7" x14ac:dyDescent="0.25">
      <c r="A251" s="1">
        <v>44910</v>
      </c>
      <c r="B251">
        <v>2.5</v>
      </c>
      <c r="C251">
        <v>2.5</v>
      </c>
      <c r="D251" s="2" t="str">
        <f t="shared" si="6"/>
        <v>2022/12/15 13:15:00</v>
      </c>
      <c r="F251" s="2" t="str">
        <v>2020/12/10 12:45:00</v>
      </c>
      <c r="G251">
        <f t="shared" si="7"/>
        <v>44175</v>
      </c>
    </row>
    <row r="252" spans="1:7" x14ac:dyDescent="0.25">
      <c r="A252" s="1">
        <v>44959</v>
      </c>
      <c r="B252">
        <v>3</v>
      </c>
      <c r="C252">
        <v>3</v>
      </c>
      <c r="D252" s="2" t="str">
        <f t="shared" si="6"/>
        <v>2023/02/02 13:15:00</v>
      </c>
      <c r="F252" s="2" t="str">
        <v>2021/01/21 12:45:00</v>
      </c>
      <c r="G252">
        <f t="shared" si="7"/>
        <v>44217</v>
      </c>
    </row>
    <row r="253" spans="1:7" x14ac:dyDescent="0.25">
      <c r="A253" s="1">
        <v>45001</v>
      </c>
      <c r="B253">
        <v>3.5</v>
      </c>
      <c r="C253">
        <v>3.5</v>
      </c>
      <c r="D253" s="2" t="str">
        <f t="shared" si="6"/>
        <v>2023/03/16 13:15:00</v>
      </c>
      <c r="F253" s="2" t="str">
        <v>2021/03/11 12:45:00</v>
      </c>
      <c r="G253">
        <f t="shared" si="7"/>
        <v>44266</v>
      </c>
    </row>
    <row r="254" spans="1:7" x14ac:dyDescent="0.25">
      <c r="A254" s="1">
        <v>45050</v>
      </c>
      <c r="B254">
        <v>3.75</v>
      </c>
      <c r="C254">
        <v>3.75</v>
      </c>
      <c r="D254" s="2" t="str">
        <f t="shared" si="6"/>
        <v>2023/05/04 12:15:00</v>
      </c>
      <c r="F254" s="2" t="str">
        <v>2021/04/22 11:45:00</v>
      </c>
      <c r="G254">
        <f t="shared" si="7"/>
        <v>44308</v>
      </c>
    </row>
    <row r="255" spans="1:7" x14ac:dyDescent="0.25">
      <c r="A255" s="1">
        <v>45092</v>
      </c>
      <c r="B255">
        <v>4</v>
      </c>
      <c r="C255">
        <v>4</v>
      </c>
      <c r="D255" s="2" t="str">
        <f t="shared" si="6"/>
        <v>2023/06/15 12:15:00</v>
      </c>
      <c r="F255" s="2" t="str">
        <v>2021/06/10 11:45:00</v>
      </c>
      <c r="G255">
        <f t="shared" si="7"/>
        <v>44357</v>
      </c>
    </row>
    <row r="256" spans="1:7" x14ac:dyDescent="0.25">
      <c r="A256" s="1">
        <v>45134</v>
      </c>
      <c r="B256">
        <v>4.25</v>
      </c>
      <c r="C256">
        <v>4.25</v>
      </c>
      <c r="D256" s="2" t="str">
        <f t="shared" si="6"/>
        <v>2023/07/27 12:15:00</v>
      </c>
      <c r="F256" s="2" t="str">
        <v>2021/07/22 11:45:00</v>
      </c>
      <c r="G256">
        <f t="shared" si="7"/>
        <v>44399</v>
      </c>
    </row>
    <row r="257" spans="1:7" x14ac:dyDescent="0.25">
      <c r="A257" s="1">
        <v>45183</v>
      </c>
      <c r="B257">
        <v>4.25</v>
      </c>
      <c r="C257">
        <v>4.5</v>
      </c>
      <c r="D257" s="2" t="str">
        <f t="shared" si="6"/>
        <v>2023/09/14 12:15:00</v>
      </c>
      <c r="F257" s="2" t="str">
        <v>2021/09/09 11:45:00</v>
      </c>
      <c r="G257">
        <f t="shared" si="7"/>
        <v>44448</v>
      </c>
    </row>
    <row r="258" spans="1:7" x14ac:dyDescent="0.25">
      <c r="A258" s="1">
        <v>45225</v>
      </c>
      <c r="B258">
        <v>4.5</v>
      </c>
      <c r="C258">
        <v>4.5</v>
      </c>
      <c r="D258" s="2" t="str">
        <f t="shared" ref="D258:D277" si="8">IFERROR(_xlfn.XLOOKUP(A258,$G:$G,$F:$F,""),"")</f>
        <v>2023/10/26 12:15:00</v>
      </c>
      <c r="F258" s="2" t="str">
        <v>2021/10/28 11:45:00</v>
      </c>
      <c r="G258">
        <f t="shared" ref="G258:G293" si="9">IFERROR(INT(F258),"")</f>
        <v>44497</v>
      </c>
    </row>
    <row r="259" spans="1:7" x14ac:dyDescent="0.25">
      <c r="A259" s="1">
        <v>45274</v>
      </c>
      <c r="B259">
        <v>4.5</v>
      </c>
      <c r="C259">
        <v>4.5</v>
      </c>
      <c r="D259" s="2" t="str">
        <f t="shared" si="8"/>
        <v>2023/12/14 13:15:00</v>
      </c>
      <c r="F259" s="2" t="str">
        <v>2021/12/16 12:45:00</v>
      </c>
      <c r="G259">
        <f t="shared" si="9"/>
        <v>44546</v>
      </c>
    </row>
    <row r="260" spans="1:7" x14ac:dyDescent="0.25">
      <c r="A260" s="1">
        <v>45316</v>
      </c>
      <c r="B260">
        <v>4.5</v>
      </c>
      <c r="C260">
        <v>4.5</v>
      </c>
      <c r="D260" s="2" t="str">
        <f t="shared" si="8"/>
        <v>2024/01/25 13:15:00</v>
      </c>
      <c r="F260" s="2" t="str">
        <v>2022/02/03 12:45:00</v>
      </c>
      <c r="G260">
        <f t="shared" si="9"/>
        <v>44595</v>
      </c>
    </row>
    <row r="261" spans="1:7" x14ac:dyDescent="0.25">
      <c r="A261" s="1">
        <v>45358</v>
      </c>
      <c r="B261">
        <v>4.5</v>
      </c>
      <c r="C261">
        <v>4.5</v>
      </c>
      <c r="D261" s="2" t="str">
        <f t="shared" si="8"/>
        <v>2024/03/07 13:15:00</v>
      </c>
      <c r="F261" s="2" t="str">
        <v>2022/03/10 12:45:00</v>
      </c>
      <c r="G261">
        <f t="shared" si="9"/>
        <v>44630</v>
      </c>
    </row>
    <row r="262" spans="1:7" x14ac:dyDescent="0.25">
      <c r="A262" s="1">
        <v>45393</v>
      </c>
      <c r="B262">
        <v>4.5</v>
      </c>
      <c r="C262">
        <v>4.5</v>
      </c>
      <c r="D262" s="2" t="str">
        <f t="shared" si="8"/>
        <v>2024/04/11 12:15:00</v>
      </c>
      <c r="F262" s="2" t="str">
        <v>2022/04/14 11:45:00</v>
      </c>
      <c r="G262">
        <f t="shared" si="9"/>
        <v>44665</v>
      </c>
    </row>
    <row r="263" spans="1:7" x14ac:dyDescent="0.25">
      <c r="A263" s="1">
        <v>45449</v>
      </c>
      <c r="B263">
        <v>4.25</v>
      </c>
      <c r="C263">
        <v>4.25</v>
      </c>
      <c r="D263" s="2" t="str">
        <f t="shared" si="8"/>
        <v>2024/06/06 12:15:00</v>
      </c>
      <c r="F263" s="2" t="str">
        <v>2022/06/09 11:45:00</v>
      </c>
      <c r="G263">
        <f t="shared" si="9"/>
        <v>44721</v>
      </c>
    </row>
    <row r="264" spans="1:7" x14ac:dyDescent="0.25">
      <c r="A264" s="1">
        <v>45491</v>
      </c>
      <c r="B264">
        <v>4.25</v>
      </c>
      <c r="C264">
        <v>4.25</v>
      </c>
      <c r="D264" s="2" t="str">
        <f t="shared" si="8"/>
        <v>2024/07/18 12:15:00</v>
      </c>
      <c r="F264" s="2" t="str">
        <v>2022/07/21 12:15:00</v>
      </c>
      <c r="G264">
        <f t="shared" si="9"/>
        <v>44763</v>
      </c>
    </row>
    <row r="265" spans="1:7" x14ac:dyDescent="0.25">
      <c r="A265" s="1">
        <v>45547</v>
      </c>
      <c r="B265">
        <v>3.65</v>
      </c>
      <c r="C265">
        <v>3.65</v>
      </c>
      <c r="D265" s="2" t="str">
        <f t="shared" si="8"/>
        <v>2024/09/12 12:15:00</v>
      </c>
      <c r="F265" s="2" t="str">
        <v>2022/09/08 12:15:00</v>
      </c>
      <c r="G265">
        <f t="shared" si="9"/>
        <v>44812</v>
      </c>
    </row>
    <row r="266" spans="1:7" x14ac:dyDescent="0.25">
      <c r="A266" s="1">
        <v>45582</v>
      </c>
      <c r="B266">
        <v>3.4</v>
      </c>
      <c r="C266">
        <v>3.4</v>
      </c>
      <c r="D266" s="2" t="str">
        <f t="shared" si="8"/>
        <v>2024/10/17 12:15:00</v>
      </c>
      <c r="F266" s="2" t="str">
        <v>2022/10/27 12:15:00</v>
      </c>
      <c r="G266">
        <f t="shared" si="9"/>
        <v>44861</v>
      </c>
    </row>
    <row r="267" spans="1:7" x14ac:dyDescent="0.25">
      <c r="A267" s="1">
        <v>45638</v>
      </c>
      <c r="B267">
        <v>3.15</v>
      </c>
      <c r="C267">
        <v>3.15</v>
      </c>
      <c r="D267" s="2" t="str">
        <f t="shared" si="8"/>
        <v>2024/12/12 13:15:00</v>
      </c>
      <c r="F267" s="2" t="str">
        <v>2022/12/15 13:15:00</v>
      </c>
      <c r="G267">
        <f t="shared" si="9"/>
        <v>44910</v>
      </c>
    </row>
    <row r="268" spans="1:7" x14ac:dyDescent="0.25">
      <c r="A268" s="1">
        <v>45687</v>
      </c>
      <c r="B268">
        <v>2.9</v>
      </c>
      <c r="C268">
        <v>2.9</v>
      </c>
      <c r="D268" s="2" t="str">
        <f t="shared" si="8"/>
        <v>2025/01/30 13:15:00</v>
      </c>
      <c r="F268" s="2" t="str">
        <v>2023/02/02 13:15:00</v>
      </c>
      <c r="G268">
        <f t="shared" si="9"/>
        <v>44959</v>
      </c>
    </row>
    <row r="269" spans="1:7" x14ac:dyDescent="0.25">
      <c r="A269" s="1">
        <v>45722</v>
      </c>
      <c r="B269">
        <v>2.65</v>
      </c>
      <c r="C269">
        <v>2.65</v>
      </c>
      <c r="D269" s="2" t="str">
        <f t="shared" si="8"/>
        <v>2025/03/06 13:15:00</v>
      </c>
      <c r="F269" s="2" t="str">
        <v>2023/03/16 13:15:00</v>
      </c>
      <c r="G269">
        <f t="shared" si="9"/>
        <v>45001</v>
      </c>
    </row>
    <row r="270" spans="1:7" x14ac:dyDescent="0.25">
      <c r="A270" s="1">
        <v>45764</v>
      </c>
      <c r="B270">
        <v>2.4</v>
      </c>
      <c r="C270">
        <v>2.4</v>
      </c>
      <c r="D270" s="2" t="str">
        <f t="shared" si="8"/>
        <v>2025/04/17 12:15:00</v>
      </c>
      <c r="F270" s="2" t="str">
        <v>2023/05/04 12:15:00</v>
      </c>
      <c r="G270">
        <f t="shared" si="9"/>
        <v>45050</v>
      </c>
    </row>
    <row r="271" spans="1:7" x14ac:dyDescent="0.25">
      <c r="A271" s="1">
        <v>45813</v>
      </c>
      <c r="B271">
        <v>2.15</v>
      </c>
      <c r="C271">
        <v>2.15</v>
      </c>
      <c r="D271" s="2" t="str">
        <f t="shared" si="8"/>
        <v>2025/06/05 12:15:00</v>
      </c>
      <c r="F271" s="2" t="str">
        <v>2023/06/15 12:15:00</v>
      </c>
      <c r="G271">
        <f t="shared" si="9"/>
        <v>45092</v>
      </c>
    </row>
    <row r="272" spans="1:7" x14ac:dyDescent="0.25">
      <c r="A272" s="1">
        <v>45862</v>
      </c>
      <c r="B272">
        <v>2.15</v>
      </c>
      <c r="C272">
        <v>2.15</v>
      </c>
      <c r="D272" s="2" t="str">
        <f t="shared" si="8"/>
        <v>2025/07/24 12:15:00</v>
      </c>
      <c r="F272" s="2" t="str">
        <v>2023/07/27 12:15:00</v>
      </c>
      <c r="G272">
        <f t="shared" si="9"/>
        <v>45134</v>
      </c>
    </row>
    <row r="273" spans="1:7" x14ac:dyDescent="0.25">
      <c r="A273" s="1">
        <v>45911</v>
      </c>
      <c r="B273">
        <v>2.15</v>
      </c>
      <c r="C273">
        <v>2.15</v>
      </c>
      <c r="D273" s="2" t="str">
        <f t="shared" si="8"/>
        <v>2025/09/11 12:15:00</v>
      </c>
      <c r="F273" s="2" t="str">
        <v>2023/09/14 12:15:00</v>
      </c>
      <c r="G273">
        <f t="shared" si="9"/>
        <v>45183</v>
      </c>
    </row>
    <row r="274" spans="1:7" x14ac:dyDescent="0.25">
      <c r="A274" s="1">
        <v>45960</v>
      </c>
      <c r="B274">
        <v>2.15</v>
      </c>
      <c r="C274">
        <v>2.15</v>
      </c>
      <c r="D274" s="2" t="str">
        <f t="shared" si="8"/>
        <v>2025/10/30 13:15:00</v>
      </c>
      <c r="F274" s="2" t="str">
        <v>2023/10/26 12:15:00</v>
      </c>
      <c r="G274">
        <f t="shared" si="9"/>
        <v>45225</v>
      </c>
    </row>
    <row r="275" spans="1:7" x14ac:dyDescent="0.25">
      <c r="A275" s="1">
        <v>46009</v>
      </c>
      <c r="B275">
        <v>2.15</v>
      </c>
      <c r="C275">
        <v>2.15</v>
      </c>
      <c r="D275" s="2" t="str">
        <f t="shared" si="8"/>
        <v>2025/12/18 13:15:00</v>
      </c>
      <c r="F275" s="2" t="str">
        <v>2023/12/14 13:15:00</v>
      </c>
      <c r="G275">
        <f t="shared" si="9"/>
        <v>45274</v>
      </c>
    </row>
    <row r="276" spans="1:7" x14ac:dyDescent="0.25">
      <c r="A276" s="1">
        <v>46058</v>
      </c>
      <c r="B276">
        <v>2.15</v>
      </c>
      <c r="C276">
        <v>2.15</v>
      </c>
      <c r="D276" s="2" t="str">
        <f t="shared" si="8"/>
        <v>2026/02/05 13:15:00</v>
      </c>
      <c r="F276" s="2" t="str">
        <v>2024/01/25 13:15:00</v>
      </c>
      <c r="G276">
        <f t="shared" si="9"/>
        <v>45316</v>
      </c>
    </row>
    <row r="277" spans="1:7" x14ac:dyDescent="0.25">
      <c r="A277" s="1">
        <v>46100</v>
      </c>
      <c r="B277">
        <v>2.15</v>
      </c>
      <c r="C277">
        <v>2.15</v>
      </c>
      <c r="D277" s="2" t="str">
        <f t="shared" si="8"/>
        <v>2026/03/19 13:15:00</v>
      </c>
      <c r="F277" s="2" t="str">
        <v>2024/03/07 13:15:00</v>
      </c>
      <c r="G277">
        <f t="shared" si="9"/>
        <v>45358</v>
      </c>
    </row>
    <row r="278" spans="1:7" x14ac:dyDescent="0.25">
      <c r="D278" s="2"/>
      <c r="F278" s="2" t="str">
        <v>2024/04/11 12:15:00</v>
      </c>
      <c r="G278">
        <f t="shared" si="9"/>
        <v>45393</v>
      </c>
    </row>
    <row r="279" spans="1:7" x14ac:dyDescent="0.25">
      <c r="D279" s="2"/>
      <c r="F279" s="2" t="str">
        <v>2024/06/06 12:15:00</v>
      </c>
      <c r="G279">
        <f t="shared" si="9"/>
        <v>45449</v>
      </c>
    </row>
    <row r="280" spans="1:7" x14ac:dyDescent="0.25">
      <c r="D280" s="2"/>
      <c r="F280" s="2" t="str">
        <v>2024/07/18 12:15:00</v>
      </c>
      <c r="G280">
        <f t="shared" si="9"/>
        <v>45491</v>
      </c>
    </row>
    <row r="281" spans="1:7" x14ac:dyDescent="0.25">
      <c r="D281" s="2"/>
      <c r="F281" s="2" t="str">
        <v>2024/09/12 12:15:00</v>
      </c>
      <c r="G281">
        <f t="shared" si="9"/>
        <v>45547</v>
      </c>
    </row>
    <row r="282" spans="1:7" x14ac:dyDescent="0.25">
      <c r="D282" s="2"/>
      <c r="F282" s="2" t="str">
        <v>2024/10/17 12:15:00</v>
      </c>
      <c r="G282">
        <f t="shared" si="9"/>
        <v>45582</v>
      </c>
    </row>
    <row r="283" spans="1:7" x14ac:dyDescent="0.25">
      <c r="D283" s="2"/>
      <c r="F283" s="2" t="str">
        <v>2024/12/12 13:15:00</v>
      </c>
      <c r="G283">
        <f t="shared" si="9"/>
        <v>45638</v>
      </c>
    </row>
    <row r="284" spans="1:7" x14ac:dyDescent="0.25">
      <c r="D284" s="2"/>
      <c r="F284" s="2" t="str">
        <v>2025/01/30 13:15:00</v>
      </c>
      <c r="G284">
        <f t="shared" si="9"/>
        <v>45687</v>
      </c>
    </row>
    <row r="285" spans="1:7" x14ac:dyDescent="0.25">
      <c r="D285" s="2"/>
      <c r="F285" s="2" t="str">
        <v>2025/03/06 13:15:00</v>
      </c>
      <c r="G285">
        <f t="shared" si="9"/>
        <v>45722</v>
      </c>
    </row>
    <row r="286" spans="1:7" x14ac:dyDescent="0.25">
      <c r="D286" s="2"/>
      <c r="F286" s="2" t="str">
        <v>2025/04/17 12:15:00</v>
      </c>
      <c r="G286">
        <f t="shared" si="9"/>
        <v>45764</v>
      </c>
    </row>
    <row r="287" spans="1:7" x14ac:dyDescent="0.25">
      <c r="D287" s="2"/>
      <c r="F287" s="2" t="str">
        <v>2025/06/05 12:15:00</v>
      </c>
      <c r="G287">
        <f t="shared" si="9"/>
        <v>45813</v>
      </c>
    </row>
    <row r="288" spans="1:7" x14ac:dyDescent="0.25">
      <c r="D288" s="2"/>
      <c r="F288" s="2" t="str">
        <v>2025/07/24 12:15:00</v>
      </c>
      <c r="G288">
        <f t="shared" si="9"/>
        <v>45862</v>
      </c>
    </row>
    <row r="289" spans="4:7" x14ac:dyDescent="0.25">
      <c r="D289" s="2"/>
      <c r="F289" s="2" t="str">
        <v>2025/09/11 12:15:00</v>
      </c>
      <c r="G289">
        <f t="shared" si="9"/>
        <v>45911</v>
      </c>
    </row>
    <row r="290" spans="4:7" x14ac:dyDescent="0.25">
      <c r="D290" s="2"/>
      <c r="F290" s="2" t="str">
        <v>2025/10/30 13:15:00</v>
      </c>
      <c r="G290">
        <f t="shared" si="9"/>
        <v>45960</v>
      </c>
    </row>
    <row r="291" spans="4:7" x14ac:dyDescent="0.25">
      <c r="D291" s="2"/>
      <c r="F291" s="2" t="str">
        <v>2025/12/18 13:15:00</v>
      </c>
      <c r="G291">
        <f t="shared" si="9"/>
        <v>46009</v>
      </c>
    </row>
    <row r="292" spans="4:7" x14ac:dyDescent="0.25">
      <c r="D292" s="2"/>
      <c r="F292" s="2" t="str">
        <v>2026/02/05 13:15:00</v>
      </c>
      <c r="G292">
        <f t="shared" si="9"/>
        <v>46058</v>
      </c>
    </row>
    <row r="293" spans="4:7" x14ac:dyDescent="0.25">
      <c r="D293" s="2"/>
      <c r="F293" s="2" t="str">
        <v>2026/03/19 13:15:00</v>
      </c>
      <c r="G293">
        <f t="shared" si="9"/>
        <v>46100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dcafdf-6d45-4e12-8512-8280e6a09d88}" enabled="1" method="Standard" siteId="{9e3ee5fe-3a99-45db-ac6e-691e86febe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cpi_yoy</vt:lpstr>
      <vt:lpstr>unempl_rate</vt:lpstr>
      <vt:lpstr>gdp</vt:lpstr>
      <vt:lpstr>bus_cond</vt:lpstr>
      <vt:lpstr>cb_target_rate</vt:lpstr>
    </vt:vector>
  </TitlesOfParts>
  <Company>PGGM N.V.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Zoons, Axel</dc:creator>
  <cp:lastModifiedBy>Zoons, Axel</cp:lastModifiedBy>
  <dcterms:created xsi:type="dcterms:W3CDTF">2026-03-19T13:39:34Z</dcterms:created>
  <dcterms:modified xsi:type="dcterms:W3CDTF">2026-04-13T12:54:44Z</dcterms:modified>
</cp:coreProperties>
</file>