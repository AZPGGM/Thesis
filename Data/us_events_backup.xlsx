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XZO\Documents\Code\Data\"/>
    </mc:Choice>
  </mc:AlternateContent>
  <xr:revisionPtr revIDLastSave="0" documentId="13_ncr:1_{9914814F-BDCE-4DC2-8A88-A4ACC76B444D}" xr6:coauthVersionLast="47" xr6:coauthVersionMax="47" xr10:uidLastSave="{00000000-0000-0000-0000-000000000000}"/>
  <bookViews>
    <workbookView xWindow="18345" yWindow="1215" windowWidth="26160" windowHeight="17130" activeTab="5" xr2:uid="{FEC654F6-CFFD-4558-B485-7C9A02ACEE52}"/>
  </bookViews>
  <sheets>
    <sheet name="cpi_yoy" sheetId="1" r:id="rId1"/>
    <sheet name="unempl_rate" sheetId="2" r:id="rId2"/>
    <sheet name="gdp" sheetId="3" r:id="rId3"/>
    <sheet name="NFP" sheetId="6" r:id="rId4"/>
    <sheet name="bus_cond" sheetId="4" r:id="rId5"/>
    <sheet name="cb_target_rate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5" i="6" l="1"/>
  <c r="G634" i="6"/>
  <c r="G633" i="6"/>
  <c r="G632" i="6"/>
  <c r="G631" i="6"/>
  <c r="G630" i="6"/>
  <c r="G629" i="6"/>
  <c r="G628" i="6"/>
  <c r="G627" i="6"/>
  <c r="G626" i="6"/>
  <c r="G625" i="6"/>
  <c r="G624" i="6"/>
  <c r="G623" i="6"/>
  <c r="G622" i="6"/>
  <c r="G621" i="6"/>
  <c r="G620" i="6"/>
  <c r="G619" i="6"/>
  <c r="G618" i="6"/>
  <c r="G617" i="6"/>
  <c r="G616" i="6"/>
  <c r="G615" i="6"/>
  <c r="G614" i="6"/>
  <c r="G613" i="6"/>
  <c r="G612" i="6"/>
  <c r="G611" i="6"/>
  <c r="G610" i="6"/>
  <c r="G609" i="6"/>
  <c r="G608" i="6"/>
  <c r="G607" i="6"/>
  <c r="G606" i="6"/>
  <c r="G605" i="6"/>
  <c r="G604" i="6"/>
  <c r="G603" i="6"/>
  <c r="G602" i="6"/>
  <c r="G601" i="6"/>
  <c r="G600" i="6"/>
  <c r="G599" i="6"/>
  <c r="G598" i="6"/>
  <c r="G597" i="6"/>
  <c r="G596" i="6"/>
  <c r="G595" i="6"/>
  <c r="G594" i="6"/>
  <c r="G593" i="6"/>
  <c r="G592" i="6"/>
  <c r="G591" i="6"/>
  <c r="G590" i="6"/>
  <c r="G589" i="6"/>
  <c r="G588" i="6"/>
  <c r="G587" i="6"/>
  <c r="G586" i="6"/>
  <c r="G585" i="6"/>
  <c r="G584" i="6"/>
  <c r="G583" i="6"/>
  <c r="G582" i="6"/>
  <c r="G581" i="6"/>
  <c r="G580" i="6"/>
  <c r="G579" i="6"/>
  <c r="G578" i="6"/>
  <c r="G577" i="6"/>
  <c r="G576" i="6"/>
  <c r="G575" i="6"/>
  <c r="G574" i="6"/>
  <c r="G573" i="6"/>
  <c r="G572" i="6"/>
  <c r="G571" i="6"/>
  <c r="G570" i="6"/>
  <c r="G569" i="6"/>
  <c r="G568" i="6"/>
  <c r="G567" i="6"/>
  <c r="G566" i="6"/>
  <c r="G565" i="6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G523" i="6"/>
  <c r="G522" i="6"/>
  <c r="G521" i="6"/>
  <c r="G520" i="6"/>
  <c r="G519" i="6"/>
  <c r="G518" i="6"/>
  <c r="G517" i="6"/>
  <c r="G516" i="6"/>
  <c r="G515" i="6"/>
  <c r="G514" i="6"/>
  <c r="G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G497" i="6"/>
  <c r="G496" i="6"/>
  <c r="G495" i="6"/>
  <c r="G494" i="6"/>
  <c r="G493" i="6"/>
  <c r="G492" i="6"/>
  <c r="G491" i="6"/>
  <c r="G490" i="6"/>
  <c r="G489" i="6"/>
  <c r="G488" i="6"/>
  <c r="G487" i="6"/>
  <c r="G486" i="6"/>
  <c r="G485" i="6"/>
  <c r="G484" i="6"/>
  <c r="G483" i="6"/>
  <c r="G482" i="6"/>
  <c r="G4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5" i="6"/>
  <c r="G434" i="6"/>
  <c r="G433" i="6"/>
  <c r="G432" i="6"/>
  <c r="G431" i="6"/>
  <c r="G430" i="6"/>
  <c r="G429" i="6"/>
  <c r="G428" i="6"/>
  <c r="G427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A2" i="5" a="1"/>
  <c r="A2" i="4" a="1"/>
  <c r="A2" i="6" a="1"/>
  <c r="A2" i="3" a="1"/>
  <c r="A2" i="2" a="1"/>
  <c r="A2" i="1" a="1"/>
  <c r="F2" i="5" a="1"/>
  <c r="F2" i="4" a="1"/>
  <c r="F2" i="6" a="1"/>
  <c r="F2" i="3" a="1"/>
  <c r="F2" i="2" a="1"/>
  <c r="F2" i="1" a="1"/>
  <c r="F2" i="5" l="1"/>
  <c r="G2" i="5"/>
  <c r="F2" i="4"/>
  <c r="G2" i="4"/>
  <c r="F2" i="6"/>
  <c r="F2" i="3"/>
  <c r="F2" i="2"/>
  <c r="F2" i="1"/>
  <c r="G2" i="6"/>
  <c r="A2" i="5"/>
  <c r="A2" i="4"/>
  <c r="A2" i="6"/>
  <c r="A2" i="3"/>
  <c r="A2" i="2"/>
  <c r="A2" i="1"/>
  <c r="G297" i="6"/>
  <c r="G277" i="6"/>
  <c r="G257" i="6"/>
  <c r="G237" i="6"/>
  <c r="G217" i="6"/>
  <c r="G197" i="6"/>
  <c r="G177" i="6"/>
  <c r="G157" i="6"/>
  <c r="G137" i="6"/>
  <c r="G117" i="6"/>
  <c r="G97" i="6"/>
  <c r="G77" i="6"/>
  <c r="G57" i="6"/>
  <c r="G37" i="6"/>
  <c r="G17" i="6"/>
  <c r="G316" i="6"/>
  <c r="G296" i="6"/>
  <c r="G276" i="6"/>
  <c r="G256" i="6"/>
  <c r="G236" i="6"/>
  <c r="G216" i="6"/>
  <c r="G196" i="6"/>
  <c r="G176" i="6"/>
  <c r="G156" i="6"/>
  <c r="G136" i="6"/>
  <c r="G116" i="6"/>
  <c r="G96" i="6"/>
  <c r="G76" i="6"/>
  <c r="G36" i="6"/>
  <c r="G16" i="6"/>
  <c r="G56" i="6"/>
  <c r="G311" i="6"/>
  <c r="G291" i="6"/>
  <c r="G271" i="6"/>
  <c r="G251" i="6"/>
  <c r="G231" i="6"/>
  <c r="G211" i="6"/>
  <c r="G191" i="6"/>
  <c r="G171" i="6"/>
  <c r="G151" i="6"/>
  <c r="G131" i="6"/>
  <c r="G111" i="6"/>
  <c r="G91" i="6"/>
  <c r="G71" i="6"/>
  <c r="G51" i="6"/>
  <c r="G31" i="6"/>
  <c r="G11" i="6"/>
  <c r="G310" i="6"/>
  <c r="G290" i="6"/>
  <c r="G270" i="6"/>
  <c r="G250" i="6"/>
  <c r="G230" i="6"/>
  <c r="G210" i="6"/>
  <c r="G190" i="6"/>
  <c r="G170" i="6"/>
  <c r="G150" i="6"/>
  <c r="G130" i="6"/>
  <c r="G110" i="6"/>
  <c r="G90" i="6"/>
  <c r="G70" i="6"/>
  <c r="G50" i="6"/>
  <c r="G30" i="6"/>
  <c r="G10" i="6"/>
  <c r="G309" i="6"/>
  <c r="G289" i="6"/>
  <c r="G269" i="6"/>
  <c r="G249" i="6"/>
  <c r="G229" i="6"/>
  <c r="G209" i="6"/>
  <c r="G189" i="6"/>
  <c r="G169" i="6"/>
  <c r="G149" i="6"/>
  <c r="G129" i="6"/>
  <c r="G109" i="6"/>
  <c r="G89" i="6"/>
  <c r="G69" i="6"/>
  <c r="G49" i="6"/>
  <c r="G29" i="6"/>
  <c r="G9" i="6"/>
  <c r="G308" i="6"/>
  <c r="G288" i="6"/>
  <c r="G268" i="6"/>
  <c r="G248" i="6"/>
  <c r="G228" i="6"/>
  <c r="G208" i="6"/>
  <c r="G188" i="6"/>
  <c r="G168" i="6"/>
  <c r="G148" i="6"/>
  <c r="G128" i="6"/>
  <c r="G108" i="6"/>
  <c r="G88" i="6"/>
  <c r="G68" i="6"/>
  <c r="G48" i="6"/>
  <c r="G28" i="6"/>
  <c r="G8" i="6"/>
  <c r="G307" i="6"/>
  <c r="G287" i="6"/>
  <c r="G267" i="6"/>
  <c r="G247" i="6"/>
  <c r="G227" i="6"/>
  <c r="G207" i="6"/>
  <c r="G187" i="6"/>
  <c r="G167" i="6"/>
  <c r="G147" i="6"/>
  <c r="G127" i="6"/>
  <c r="G107" i="6"/>
  <c r="G87" i="6"/>
  <c r="G67" i="6"/>
  <c r="G47" i="6"/>
  <c r="G27" i="6"/>
  <c r="G7" i="6"/>
  <c r="G314" i="6"/>
  <c r="G282" i="6"/>
  <c r="G253" i="6"/>
  <c r="G221" i="6"/>
  <c r="G192" i="6"/>
  <c r="G160" i="6"/>
  <c r="G126" i="6"/>
  <c r="G99" i="6"/>
  <c r="G65" i="6"/>
  <c r="G38" i="6"/>
  <c r="G4" i="6"/>
  <c r="G313" i="6"/>
  <c r="G281" i="6"/>
  <c r="G252" i="6"/>
  <c r="G220" i="6"/>
  <c r="G186" i="6"/>
  <c r="G159" i="6"/>
  <c r="G125" i="6"/>
  <c r="G98" i="6"/>
  <c r="G64" i="6"/>
  <c r="G35" i="6"/>
  <c r="G3" i="6"/>
  <c r="G312" i="6"/>
  <c r="G280" i="6"/>
  <c r="G246" i="6"/>
  <c r="G219" i="6"/>
  <c r="G185" i="6"/>
  <c r="G158" i="6"/>
  <c r="G124" i="6"/>
  <c r="G95" i="6"/>
  <c r="G63" i="6"/>
  <c r="G34" i="6"/>
  <c r="G306" i="6"/>
  <c r="G279" i="6"/>
  <c r="G245" i="6"/>
  <c r="G218" i="6"/>
  <c r="G155" i="6"/>
  <c r="G123" i="6"/>
  <c r="G94" i="6"/>
  <c r="G33" i="6"/>
  <c r="G305" i="6"/>
  <c r="G278" i="6"/>
  <c r="G244" i="6"/>
  <c r="G215" i="6"/>
  <c r="G183" i="6"/>
  <c r="G154" i="6"/>
  <c r="G122" i="6"/>
  <c r="G61" i="6"/>
  <c r="G304" i="6"/>
  <c r="G275" i="6"/>
  <c r="G243" i="6"/>
  <c r="G182" i="6"/>
  <c r="G153" i="6"/>
  <c r="G60" i="6"/>
  <c r="G263" i="6"/>
  <c r="G173" i="6"/>
  <c r="G141" i="6"/>
  <c r="G80" i="6"/>
  <c r="G233" i="6"/>
  <c r="G140" i="6"/>
  <c r="G18" i="6"/>
  <c r="G261" i="6"/>
  <c r="G200" i="6"/>
  <c r="G78" i="6"/>
  <c r="G226" i="6"/>
  <c r="G138" i="6"/>
  <c r="G14" i="6"/>
  <c r="G286" i="6"/>
  <c r="G225" i="6"/>
  <c r="G164" i="6"/>
  <c r="G103" i="6"/>
  <c r="G42" i="6"/>
  <c r="G224" i="6"/>
  <c r="G102" i="6"/>
  <c r="G73" i="6"/>
  <c r="G41" i="6"/>
  <c r="G255" i="6"/>
  <c r="G194" i="6"/>
  <c r="G133" i="6"/>
  <c r="G6" i="6"/>
  <c r="G315" i="6"/>
  <c r="G283" i="6"/>
  <c r="G184" i="6"/>
  <c r="G62" i="6"/>
  <c r="G93" i="6"/>
  <c r="G32" i="6"/>
  <c r="G214" i="6"/>
  <c r="G121" i="6"/>
  <c r="G92" i="6"/>
  <c r="G26" i="6"/>
  <c r="G46" i="6"/>
  <c r="G262" i="6"/>
  <c r="G172" i="6"/>
  <c r="G106" i="6"/>
  <c r="G79" i="6"/>
  <c r="G105" i="6"/>
  <c r="G199" i="6"/>
  <c r="G104" i="6"/>
  <c r="G198" i="6"/>
  <c r="G135" i="6"/>
  <c r="G13" i="6"/>
  <c r="G258" i="6"/>
  <c r="G163" i="6"/>
  <c r="G223" i="6"/>
  <c r="G40" i="6"/>
  <c r="G303" i="6"/>
  <c r="G274" i="6"/>
  <c r="G242" i="6"/>
  <c r="G213" i="6"/>
  <c r="G181" i="6"/>
  <c r="G152" i="6"/>
  <c r="G120" i="6"/>
  <c r="G86" i="6"/>
  <c r="G59" i="6"/>
  <c r="G25" i="6"/>
  <c r="G302" i="6"/>
  <c r="G273" i="6"/>
  <c r="G241" i="6"/>
  <c r="G212" i="6"/>
  <c r="G180" i="6"/>
  <c r="G146" i="6"/>
  <c r="G119" i="6"/>
  <c r="G85" i="6"/>
  <c r="G58" i="6"/>
  <c r="G24" i="6"/>
  <c r="G301" i="6"/>
  <c r="G272" i="6"/>
  <c r="G240" i="6"/>
  <c r="G206" i="6"/>
  <c r="G179" i="6"/>
  <c r="G145" i="6"/>
  <c r="G118" i="6"/>
  <c r="G84" i="6"/>
  <c r="G55" i="6"/>
  <c r="G23" i="6"/>
  <c r="G300" i="6"/>
  <c r="G266" i="6"/>
  <c r="G239" i="6"/>
  <c r="G205" i="6"/>
  <c r="G178" i="6"/>
  <c r="G144" i="6"/>
  <c r="G115" i="6"/>
  <c r="G83" i="6"/>
  <c r="G54" i="6"/>
  <c r="G22" i="6"/>
  <c r="G299" i="6"/>
  <c r="G265" i="6"/>
  <c r="G238" i="6"/>
  <c r="G204" i="6"/>
  <c r="G175" i="6"/>
  <c r="G143" i="6"/>
  <c r="G114" i="6"/>
  <c r="G82" i="6"/>
  <c r="G53" i="6"/>
  <c r="G21" i="6"/>
  <c r="G298" i="6"/>
  <c r="G264" i="6"/>
  <c r="G235" i="6"/>
  <c r="G203" i="6"/>
  <c r="G174" i="6"/>
  <c r="G142" i="6"/>
  <c r="G113" i="6"/>
  <c r="G81" i="6"/>
  <c r="G52" i="6"/>
  <c r="G20" i="6"/>
  <c r="G295" i="6"/>
  <c r="G234" i="6"/>
  <c r="G202" i="6"/>
  <c r="G112" i="6"/>
  <c r="G19" i="6"/>
  <c r="G294" i="6"/>
  <c r="G201" i="6"/>
  <c r="G45" i="6"/>
  <c r="G293" i="6"/>
  <c r="G232" i="6"/>
  <c r="G166" i="6"/>
  <c r="G139" i="6"/>
  <c r="G44" i="6"/>
  <c r="G15" i="6"/>
  <c r="G292" i="6"/>
  <c r="G260" i="6"/>
  <c r="G165" i="6"/>
  <c r="G75" i="6"/>
  <c r="G43" i="6"/>
  <c r="G259" i="6"/>
  <c r="G74" i="6"/>
  <c r="G285" i="6"/>
  <c r="G195" i="6"/>
  <c r="G134" i="6"/>
  <c r="G12" i="6"/>
  <c r="G284" i="6"/>
  <c r="G162" i="6"/>
  <c r="G101" i="6"/>
  <c r="G72" i="6"/>
  <c r="G254" i="6"/>
  <c r="G193" i="6"/>
  <c r="G161" i="6"/>
  <c r="G132" i="6"/>
  <c r="G100" i="6"/>
  <c r="G66" i="6"/>
  <c r="G222" i="6"/>
  <c r="G39" i="6"/>
  <c r="G5" i="6"/>
  <c r="G300" i="2"/>
  <c r="G280" i="2"/>
  <c r="G260" i="2"/>
  <c r="G240" i="2"/>
  <c r="G220" i="2"/>
  <c r="G200" i="2"/>
  <c r="G180" i="2"/>
  <c r="G160" i="2"/>
  <c r="G140" i="2"/>
  <c r="G120" i="2"/>
  <c r="G100" i="2"/>
  <c r="G80" i="2"/>
  <c r="G60" i="2"/>
  <c r="G40" i="2"/>
  <c r="G20" i="2"/>
  <c r="G57" i="2"/>
  <c r="G216" i="2"/>
  <c r="G156" i="2"/>
  <c r="G76" i="2"/>
  <c r="G275" i="2"/>
  <c r="G215" i="2"/>
  <c r="G155" i="2"/>
  <c r="G115" i="2"/>
  <c r="G35" i="2"/>
  <c r="G299" i="2"/>
  <c r="G279" i="2"/>
  <c r="G259" i="2"/>
  <c r="G239" i="2"/>
  <c r="G219" i="2"/>
  <c r="G199" i="2"/>
  <c r="G179" i="2"/>
  <c r="G159" i="2"/>
  <c r="G139" i="2"/>
  <c r="G119" i="2"/>
  <c r="G99" i="2"/>
  <c r="G79" i="2"/>
  <c r="G59" i="2"/>
  <c r="G39" i="2"/>
  <c r="G19" i="2"/>
  <c r="G297" i="2"/>
  <c r="G257" i="2"/>
  <c r="G237" i="2"/>
  <c r="G217" i="2"/>
  <c r="G197" i="2"/>
  <c r="G177" i="2"/>
  <c r="G137" i="2"/>
  <c r="G117" i="2"/>
  <c r="G37" i="2"/>
  <c r="G236" i="2"/>
  <c r="G116" i="2"/>
  <c r="G315" i="2"/>
  <c r="G95" i="2"/>
  <c r="G298" i="2"/>
  <c r="G278" i="2"/>
  <c r="G258" i="2"/>
  <c r="G238" i="2"/>
  <c r="G218" i="2"/>
  <c r="G198" i="2"/>
  <c r="G178" i="2"/>
  <c r="G158" i="2"/>
  <c r="G138" i="2"/>
  <c r="G118" i="2"/>
  <c r="G98" i="2"/>
  <c r="G78" i="2"/>
  <c r="G58" i="2"/>
  <c r="G38" i="2"/>
  <c r="G18" i="2"/>
  <c r="G277" i="2"/>
  <c r="G157" i="2"/>
  <c r="G97" i="2"/>
  <c r="G17" i="2"/>
  <c r="G276" i="2"/>
  <c r="G196" i="2"/>
  <c r="G136" i="2"/>
  <c r="G96" i="2"/>
  <c r="G36" i="2"/>
  <c r="G2" i="2"/>
  <c r="G195" i="2"/>
  <c r="G75" i="2"/>
  <c r="G77" i="2"/>
  <c r="G256" i="2"/>
  <c r="G176" i="2"/>
  <c r="G16" i="2"/>
  <c r="G295" i="2"/>
  <c r="G255" i="2"/>
  <c r="G235" i="2"/>
  <c r="G175" i="2"/>
  <c r="G135" i="2"/>
  <c r="G55" i="2"/>
  <c r="G15" i="2"/>
  <c r="G296" i="2"/>
  <c r="G56" i="2"/>
  <c r="G289" i="2"/>
  <c r="G263" i="2"/>
  <c r="G231" i="2"/>
  <c r="G205" i="2"/>
  <c r="G173" i="2"/>
  <c r="G147" i="2"/>
  <c r="G121" i="2"/>
  <c r="G89" i="2"/>
  <c r="G63" i="2"/>
  <c r="G31" i="2"/>
  <c r="G5" i="2"/>
  <c r="G226" i="2"/>
  <c r="G142" i="2"/>
  <c r="G52" i="2"/>
  <c r="G141" i="2"/>
  <c r="G307" i="2"/>
  <c r="G214" i="2"/>
  <c r="G46" i="2"/>
  <c r="G303" i="2"/>
  <c r="G161" i="2"/>
  <c r="G45" i="2"/>
  <c r="G314" i="2"/>
  <c r="G288" i="2"/>
  <c r="G262" i="2"/>
  <c r="G230" i="2"/>
  <c r="G204" i="2"/>
  <c r="G172" i="2"/>
  <c r="G146" i="2"/>
  <c r="G114" i="2"/>
  <c r="G88" i="2"/>
  <c r="G62" i="2"/>
  <c r="G30" i="2"/>
  <c r="G4" i="2"/>
  <c r="G61" i="2"/>
  <c r="G3" i="2"/>
  <c r="G286" i="2"/>
  <c r="G170" i="2"/>
  <c r="G86" i="2"/>
  <c r="G28" i="2"/>
  <c r="G311" i="2"/>
  <c r="G201" i="2"/>
  <c r="G143" i="2"/>
  <c r="G53" i="2"/>
  <c r="G283" i="2"/>
  <c r="G251" i="2"/>
  <c r="G225" i="2"/>
  <c r="G193" i="2"/>
  <c r="G109" i="2"/>
  <c r="G83" i="2"/>
  <c r="G51" i="2"/>
  <c r="G25" i="2"/>
  <c r="G50" i="2"/>
  <c r="G249" i="2"/>
  <c r="G23" i="2"/>
  <c r="G274" i="2"/>
  <c r="G190" i="2"/>
  <c r="G106" i="2"/>
  <c r="G74" i="2"/>
  <c r="G247" i="2"/>
  <c r="G304" i="2"/>
  <c r="G212" i="2"/>
  <c r="G313" i="2"/>
  <c r="G287" i="2"/>
  <c r="G261" i="2"/>
  <c r="G229" i="2"/>
  <c r="G203" i="2"/>
  <c r="G171" i="2"/>
  <c r="G145" i="2"/>
  <c r="G113" i="2"/>
  <c r="G87" i="2"/>
  <c r="G29" i="2"/>
  <c r="G112" i="2"/>
  <c r="G285" i="2"/>
  <c r="G169" i="2"/>
  <c r="G111" i="2"/>
  <c r="G284" i="2"/>
  <c r="G194" i="2"/>
  <c r="G168" i="2"/>
  <c r="G110" i="2"/>
  <c r="G84" i="2"/>
  <c r="G26" i="2"/>
  <c r="G167" i="2"/>
  <c r="G250" i="2"/>
  <c r="G248" i="2"/>
  <c r="G48" i="2"/>
  <c r="G305" i="2"/>
  <c r="G189" i="2"/>
  <c r="G163" i="2"/>
  <c r="G105" i="2"/>
  <c r="G47" i="2"/>
  <c r="G271" i="2"/>
  <c r="G103" i="2"/>
  <c r="G312" i="2"/>
  <c r="G254" i="2"/>
  <c r="G228" i="2"/>
  <c r="G202" i="2"/>
  <c r="G144" i="2"/>
  <c r="G54" i="2"/>
  <c r="G253" i="2"/>
  <c r="G85" i="2"/>
  <c r="G252" i="2"/>
  <c r="G308" i="2"/>
  <c r="G224" i="2"/>
  <c r="G192" i="2"/>
  <c r="G166" i="2"/>
  <c r="G134" i="2"/>
  <c r="G82" i="2"/>
  <c r="G24" i="2"/>
  <c r="G223" i="2"/>
  <c r="G81" i="2"/>
  <c r="G132" i="2"/>
  <c r="G73" i="2"/>
  <c r="G245" i="2"/>
  <c r="G187" i="2"/>
  <c r="G129" i="2"/>
  <c r="G71" i="2"/>
  <c r="G244" i="2"/>
  <c r="G186" i="2"/>
  <c r="G154" i="2"/>
  <c r="G227" i="2"/>
  <c r="G27" i="2"/>
  <c r="G310" i="2"/>
  <c r="G282" i="2"/>
  <c r="G191" i="2"/>
  <c r="G133" i="2"/>
  <c r="G49" i="2"/>
  <c r="G306" i="2"/>
  <c r="G164" i="2"/>
  <c r="G22" i="2"/>
  <c r="G213" i="2"/>
  <c r="G302" i="2"/>
  <c r="G309" i="2"/>
  <c r="G108" i="2"/>
  <c r="G281" i="2"/>
  <c r="G165" i="2"/>
  <c r="G107" i="2"/>
  <c r="G222" i="2"/>
  <c r="G273" i="2"/>
  <c r="G221" i="2"/>
  <c r="G131" i="2"/>
  <c r="G21" i="2"/>
  <c r="G272" i="2"/>
  <c r="G246" i="2"/>
  <c r="G188" i="2"/>
  <c r="G162" i="2"/>
  <c r="G130" i="2"/>
  <c r="G104" i="2"/>
  <c r="G72" i="2"/>
  <c r="G14" i="2"/>
  <c r="G13" i="2"/>
  <c r="G270" i="2"/>
  <c r="G291" i="2"/>
  <c r="G265" i="2"/>
  <c r="G233" i="2"/>
  <c r="G207" i="2"/>
  <c r="G181" i="2"/>
  <c r="G149" i="2"/>
  <c r="G123" i="2"/>
  <c r="G91" i="2"/>
  <c r="G65" i="2"/>
  <c r="G33" i="2"/>
  <c r="G7" i="2"/>
  <c r="G242" i="2"/>
  <c r="G127" i="2"/>
  <c r="G41" i="2"/>
  <c r="G126" i="2"/>
  <c r="G34" i="2"/>
  <c r="G125" i="2"/>
  <c r="G32" i="2"/>
  <c r="G10" i="2"/>
  <c r="G208" i="2"/>
  <c r="G92" i="2"/>
  <c r="G90" i="2"/>
  <c r="G183" i="2"/>
  <c r="G68" i="2"/>
  <c r="G269" i="2"/>
  <c r="G66" i="2"/>
  <c r="G150" i="2"/>
  <c r="G43" i="2"/>
  <c r="G241" i="2"/>
  <c r="G232" i="2"/>
  <c r="G12" i="2"/>
  <c r="G211" i="2"/>
  <c r="G209" i="2"/>
  <c r="G8" i="2"/>
  <c r="G185" i="2"/>
  <c r="G294" i="2"/>
  <c r="G70" i="2"/>
  <c r="G292" i="2"/>
  <c r="G290" i="2"/>
  <c r="G268" i="2"/>
  <c r="G267" i="2"/>
  <c r="G266" i="2"/>
  <c r="G148" i="2"/>
  <c r="G128" i="2"/>
  <c r="G234" i="2"/>
  <c r="G11" i="2"/>
  <c r="G210" i="2"/>
  <c r="G94" i="2"/>
  <c r="G6" i="2"/>
  <c r="G182" i="2"/>
  <c r="G151" i="2"/>
  <c r="G42" i="2"/>
  <c r="G124" i="2"/>
  <c r="G122" i="2"/>
  <c r="G101" i="2"/>
  <c r="G93" i="2"/>
  <c r="G184" i="2"/>
  <c r="G69" i="2"/>
  <c r="G174" i="2"/>
  <c r="G153" i="2"/>
  <c r="G64" i="2"/>
  <c r="G264" i="2"/>
  <c r="G102" i="2"/>
  <c r="G9" i="2"/>
  <c r="G206" i="2"/>
  <c r="G301" i="2"/>
  <c r="G293" i="2"/>
  <c r="G67" i="2"/>
  <c r="G152" i="2"/>
  <c r="G44" i="2"/>
  <c r="G243" i="2"/>
  <c r="G302" i="4"/>
  <c r="G282" i="4"/>
  <c r="G262" i="4"/>
  <c r="G242" i="4"/>
  <c r="G222" i="4"/>
  <c r="G202" i="4"/>
  <c r="G182" i="4"/>
  <c r="G162" i="4"/>
  <c r="G142" i="4"/>
  <c r="G122" i="4"/>
  <c r="G102" i="4"/>
  <c r="G82" i="4"/>
  <c r="G62" i="4"/>
  <c r="G42" i="4"/>
  <c r="G22" i="4"/>
  <c r="G79" i="4"/>
  <c r="G298" i="4"/>
  <c r="G178" i="4"/>
  <c r="G78" i="4"/>
  <c r="G297" i="4"/>
  <c r="G17" i="4"/>
  <c r="G296" i="4"/>
  <c r="G301" i="4"/>
  <c r="G281" i="4"/>
  <c r="G261" i="4"/>
  <c r="G241" i="4"/>
  <c r="G221" i="4"/>
  <c r="G201" i="4"/>
  <c r="G181" i="4"/>
  <c r="G161" i="4"/>
  <c r="G141" i="4"/>
  <c r="G121" i="4"/>
  <c r="G101" i="4"/>
  <c r="G81" i="4"/>
  <c r="G61" i="4"/>
  <c r="G41" i="4"/>
  <c r="G21" i="4"/>
  <c r="G279" i="4"/>
  <c r="G119" i="4"/>
  <c r="G39" i="4"/>
  <c r="G19" i="4"/>
  <c r="G238" i="4"/>
  <c r="G118" i="4"/>
  <c r="G18" i="4"/>
  <c r="G157" i="4"/>
  <c r="G57" i="4"/>
  <c r="G236" i="4"/>
  <c r="G300" i="4"/>
  <c r="G280" i="4"/>
  <c r="G260" i="4"/>
  <c r="G240" i="4"/>
  <c r="G220" i="4"/>
  <c r="G200" i="4"/>
  <c r="G180" i="4"/>
  <c r="G160" i="4"/>
  <c r="G140" i="4"/>
  <c r="G120" i="4"/>
  <c r="G100" i="4"/>
  <c r="G80" i="4"/>
  <c r="G60" i="4"/>
  <c r="G40" i="4"/>
  <c r="G20" i="4"/>
  <c r="G278" i="4"/>
  <c r="G158" i="4"/>
  <c r="G58" i="4"/>
  <c r="G257" i="4"/>
  <c r="G316" i="4"/>
  <c r="G196" i="4"/>
  <c r="G299" i="4"/>
  <c r="G259" i="4"/>
  <c r="G239" i="4"/>
  <c r="G219" i="4"/>
  <c r="G199" i="4"/>
  <c r="G179" i="4"/>
  <c r="G159" i="4"/>
  <c r="G139" i="4"/>
  <c r="G99" i="4"/>
  <c r="G59" i="4"/>
  <c r="G258" i="4"/>
  <c r="G198" i="4"/>
  <c r="G138" i="4"/>
  <c r="G98" i="4"/>
  <c r="G38" i="4"/>
  <c r="G277" i="4"/>
  <c r="G237" i="4"/>
  <c r="G217" i="4"/>
  <c r="G197" i="4"/>
  <c r="G177" i="4"/>
  <c r="G137" i="4"/>
  <c r="G117" i="4"/>
  <c r="G97" i="4"/>
  <c r="G77" i="4"/>
  <c r="G37" i="4"/>
  <c r="G276" i="4"/>
  <c r="G218" i="4"/>
  <c r="G256" i="4"/>
  <c r="G291" i="4"/>
  <c r="G264" i="4"/>
  <c r="G230" i="4"/>
  <c r="G204" i="4"/>
  <c r="G171" i="4"/>
  <c r="G145" i="4"/>
  <c r="G113" i="4"/>
  <c r="G87" i="4"/>
  <c r="G55" i="4"/>
  <c r="G29" i="4"/>
  <c r="G3" i="4"/>
  <c r="G314" i="4"/>
  <c r="G313" i="4"/>
  <c r="G192" i="4"/>
  <c r="G166" i="4"/>
  <c r="G108" i="4"/>
  <c r="G50" i="4"/>
  <c r="G191" i="4"/>
  <c r="G311" i="4"/>
  <c r="G283" i="4"/>
  <c r="G131" i="4"/>
  <c r="G73" i="4"/>
  <c r="G188" i="4"/>
  <c r="G153" i="4"/>
  <c r="G271" i="4"/>
  <c r="G290" i="4"/>
  <c r="G263" i="4"/>
  <c r="G229" i="4"/>
  <c r="G203" i="4"/>
  <c r="G170" i="4"/>
  <c r="G144" i="4"/>
  <c r="G112" i="4"/>
  <c r="G86" i="4"/>
  <c r="G54" i="4"/>
  <c r="G28" i="4"/>
  <c r="G287" i="4"/>
  <c r="G109" i="4"/>
  <c r="G286" i="4"/>
  <c r="G216" i="4"/>
  <c r="G47" i="4"/>
  <c r="G275" i="4"/>
  <c r="G156" i="4"/>
  <c r="G130" i="4"/>
  <c r="G72" i="4"/>
  <c r="G14" i="4"/>
  <c r="G307" i="4"/>
  <c r="G213" i="4"/>
  <c r="G186" i="4"/>
  <c r="G154" i="4"/>
  <c r="G128" i="4"/>
  <c r="G96" i="4"/>
  <c r="G70" i="4"/>
  <c r="G44" i="4"/>
  <c r="G212" i="4"/>
  <c r="G289" i="4"/>
  <c r="G255" i="4"/>
  <c r="G228" i="4"/>
  <c r="G195" i="4"/>
  <c r="G169" i="4"/>
  <c r="G143" i="4"/>
  <c r="G111" i="4"/>
  <c r="G85" i="4"/>
  <c r="G53" i="4"/>
  <c r="G27" i="4"/>
  <c r="G226" i="4"/>
  <c r="G51" i="4"/>
  <c r="G252" i="4"/>
  <c r="G134" i="4"/>
  <c r="G76" i="4"/>
  <c r="G24" i="4"/>
  <c r="G251" i="4"/>
  <c r="G310" i="4"/>
  <c r="G248" i="4"/>
  <c r="G46" i="4"/>
  <c r="G308" i="4"/>
  <c r="G214" i="4"/>
  <c r="G155" i="4"/>
  <c r="G129" i="4"/>
  <c r="G103" i="4"/>
  <c r="G71" i="4"/>
  <c r="G13" i="4"/>
  <c r="G306" i="4"/>
  <c r="G315" i="4"/>
  <c r="G288" i="4"/>
  <c r="G254" i="4"/>
  <c r="G227" i="4"/>
  <c r="G194" i="4"/>
  <c r="G168" i="4"/>
  <c r="G136" i="4"/>
  <c r="G110" i="4"/>
  <c r="G84" i="4"/>
  <c r="G52" i="4"/>
  <c r="G26" i="4"/>
  <c r="G167" i="4"/>
  <c r="G225" i="4"/>
  <c r="G75" i="4"/>
  <c r="G250" i="4"/>
  <c r="G223" i="4"/>
  <c r="G190" i="4"/>
  <c r="G132" i="4"/>
  <c r="G106" i="4"/>
  <c r="G74" i="4"/>
  <c r="G16" i="4"/>
  <c r="G249" i="4"/>
  <c r="G105" i="4"/>
  <c r="G15" i="4"/>
  <c r="G215" i="4"/>
  <c r="G187" i="4"/>
  <c r="G246" i="4"/>
  <c r="G185" i="4"/>
  <c r="G127" i="4"/>
  <c r="G95" i="4"/>
  <c r="G69" i="4"/>
  <c r="G43" i="4"/>
  <c r="G68" i="4"/>
  <c r="G253" i="4"/>
  <c r="G193" i="4"/>
  <c r="G135" i="4"/>
  <c r="G83" i="4"/>
  <c r="G25" i="4"/>
  <c r="G49" i="4"/>
  <c r="G284" i="4"/>
  <c r="G48" i="4"/>
  <c r="G189" i="4"/>
  <c r="G309" i="4"/>
  <c r="G104" i="4"/>
  <c r="G247" i="4"/>
  <c r="G272" i="4"/>
  <c r="G11" i="4"/>
  <c r="G305" i="4"/>
  <c r="G211" i="4"/>
  <c r="G184" i="4"/>
  <c r="G152" i="4"/>
  <c r="G126" i="4"/>
  <c r="G36" i="4"/>
  <c r="G10" i="4"/>
  <c r="G312" i="4"/>
  <c r="G285" i="4"/>
  <c r="G224" i="4"/>
  <c r="G165" i="4"/>
  <c r="G133" i="4"/>
  <c r="G107" i="4"/>
  <c r="G23" i="4"/>
  <c r="G164" i="4"/>
  <c r="G163" i="4"/>
  <c r="G274" i="4"/>
  <c r="G45" i="4"/>
  <c r="G273" i="4"/>
  <c r="G12" i="4"/>
  <c r="G245" i="4"/>
  <c r="G244" i="4"/>
  <c r="G94" i="4"/>
  <c r="G293" i="4"/>
  <c r="G266" i="4"/>
  <c r="G232" i="4"/>
  <c r="G206" i="4"/>
  <c r="G173" i="4"/>
  <c r="G147" i="4"/>
  <c r="G115" i="4"/>
  <c r="G89" i="4"/>
  <c r="G63" i="4"/>
  <c r="G31" i="4"/>
  <c r="G5" i="4"/>
  <c r="G269" i="4"/>
  <c r="G150" i="4"/>
  <c r="G34" i="4"/>
  <c r="G146" i="4"/>
  <c r="G235" i="4"/>
  <c r="G233" i="4"/>
  <c r="G209" i="4"/>
  <c r="G91" i="4"/>
  <c r="G175" i="4"/>
  <c r="G174" i="4"/>
  <c r="G172" i="4"/>
  <c r="G35" i="4"/>
  <c r="G268" i="4"/>
  <c r="G149" i="4"/>
  <c r="G33" i="4"/>
  <c r="G8" i="4"/>
  <c r="G4" i="4"/>
  <c r="G93" i="4"/>
  <c r="G183" i="4"/>
  <c r="G151" i="4"/>
  <c r="G267" i="4"/>
  <c r="G148" i="4"/>
  <c r="G32" i="4"/>
  <c r="G30" i="4"/>
  <c r="G125" i="4"/>
  <c r="G123" i="4"/>
  <c r="G116" i="4"/>
  <c r="G231" i="4"/>
  <c r="G208" i="4"/>
  <c r="G88" i="4"/>
  <c r="G66" i="4"/>
  <c r="G295" i="4"/>
  <c r="G294" i="4"/>
  <c r="G56" i="4"/>
  <c r="G265" i="4"/>
  <c r="G243" i="4"/>
  <c r="G234" i="4"/>
  <c r="G6" i="4"/>
  <c r="G114" i="4"/>
  <c r="G210" i="4"/>
  <c r="G92" i="4"/>
  <c r="G90" i="4"/>
  <c r="G205" i="4"/>
  <c r="G304" i="4"/>
  <c r="G176" i="4"/>
  <c r="G64" i="4"/>
  <c r="G9" i="4"/>
  <c r="G124" i="4"/>
  <c r="G7" i="4"/>
  <c r="G207" i="4"/>
  <c r="G67" i="4"/>
  <c r="G303" i="4"/>
  <c r="G65" i="4"/>
  <c r="G292" i="4"/>
  <c r="G270" i="4"/>
  <c r="G213" i="5"/>
  <c r="G193" i="5"/>
  <c r="G173" i="5"/>
  <c r="G153" i="5"/>
  <c r="G133" i="5"/>
  <c r="G113" i="5"/>
  <c r="G93" i="5"/>
  <c r="G73" i="5"/>
  <c r="G53" i="5"/>
  <c r="G33" i="5"/>
  <c r="G13" i="5"/>
  <c r="G148" i="5"/>
  <c r="G207" i="5"/>
  <c r="G212" i="5"/>
  <c r="G192" i="5"/>
  <c r="G172" i="5"/>
  <c r="G152" i="5"/>
  <c r="G132" i="5"/>
  <c r="G112" i="5"/>
  <c r="G92" i="5"/>
  <c r="G72" i="5"/>
  <c r="G52" i="5"/>
  <c r="G32" i="5"/>
  <c r="G12" i="5"/>
  <c r="G169" i="5"/>
  <c r="G29" i="5"/>
  <c r="G168" i="5"/>
  <c r="G147" i="5"/>
  <c r="G107" i="5"/>
  <c r="G87" i="5"/>
  <c r="G67" i="5"/>
  <c r="G27" i="5"/>
  <c r="G211" i="5"/>
  <c r="G191" i="5"/>
  <c r="G171" i="5"/>
  <c r="G151" i="5"/>
  <c r="G131" i="5"/>
  <c r="G111" i="5"/>
  <c r="G91" i="5"/>
  <c r="G71" i="5"/>
  <c r="G51" i="5"/>
  <c r="G31" i="5"/>
  <c r="G11" i="5"/>
  <c r="G209" i="5"/>
  <c r="G189" i="5"/>
  <c r="G149" i="5"/>
  <c r="G109" i="5"/>
  <c r="G89" i="5"/>
  <c r="G49" i="5"/>
  <c r="G9" i="5"/>
  <c r="G188" i="5"/>
  <c r="G108" i="5"/>
  <c r="G88" i="5"/>
  <c r="G68" i="5"/>
  <c r="G48" i="5"/>
  <c r="G8" i="5"/>
  <c r="G167" i="5"/>
  <c r="G7" i="5"/>
  <c r="G210" i="5"/>
  <c r="G190" i="5"/>
  <c r="G170" i="5"/>
  <c r="G150" i="5"/>
  <c r="G130" i="5"/>
  <c r="G110" i="5"/>
  <c r="G90" i="5"/>
  <c r="G70" i="5"/>
  <c r="G50" i="5"/>
  <c r="G30" i="5"/>
  <c r="G10" i="5"/>
  <c r="G129" i="5"/>
  <c r="G208" i="5"/>
  <c r="G28" i="5"/>
  <c r="G187" i="5"/>
  <c r="G69" i="5"/>
  <c r="G128" i="5"/>
  <c r="G127" i="5"/>
  <c r="G47" i="5"/>
  <c r="G200" i="5"/>
  <c r="G166" i="5"/>
  <c r="G139" i="5"/>
  <c r="G105" i="5"/>
  <c r="G78" i="5"/>
  <c r="G44" i="5"/>
  <c r="G17" i="5"/>
  <c r="G186" i="5"/>
  <c r="G36" i="5"/>
  <c r="G123" i="5"/>
  <c r="G95" i="5"/>
  <c r="G155" i="5"/>
  <c r="G181" i="5"/>
  <c r="G59" i="5"/>
  <c r="G146" i="5"/>
  <c r="G199" i="5"/>
  <c r="G165" i="5"/>
  <c r="G138" i="5"/>
  <c r="G104" i="5"/>
  <c r="G77" i="5"/>
  <c r="G43" i="5"/>
  <c r="G16" i="5"/>
  <c r="G100" i="5"/>
  <c r="G64" i="5"/>
  <c r="G63" i="5"/>
  <c r="G96" i="5"/>
  <c r="G183" i="5"/>
  <c r="G121" i="5"/>
  <c r="G154" i="5"/>
  <c r="G24" i="5"/>
  <c r="G198" i="5"/>
  <c r="G164" i="5"/>
  <c r="G137" i="5"/>
  <c r="G103" i="5"/>
  <c r="G76" i="5"/>
  <c r="G42" i="5"/>
  <c r="G15" i="5"/>
  <c r="G161" i="5"/>
  <c r="G159" i="5"/>
  <c r="G37" i="5"/>
  <c r="G97" i="5"/>
  <c r="G35" i="5"/>
  <c r="G217" i="5"/>
  <c r="G216" i="5"/>
  <c r="G120" i="5"/>
  <c r="G25" i="5"/>
  <c r="G214" i="5"/>
  <c r="G197" i="5"/>
  <c r="G163" i="5"/>
  <c r="G136" i="5"/>
  <c r="G102" i="5"/>
  <c r="G75" i="5"/>
  <c r="G41" i="5"/>
  <c r="G14" i="5"/>
  <c r="G195" i="5"/>
  <c r="G66" i="5"/>
  <c r="G39" i="5"/>
  <c r="G5" i="5"/>
  <c r="G98" i="5"/>
  <c r="G124" i="5"/>
  <c r="G157" i="5"/>
  <c r="G122" i="5"/>
  <c r="G94" i="5"/>
  <c r="G86" i="5"/>
  <c r="G85" i="5"/>
  <c r="G196" i="5"/>
  <c r="G162" i="5"/>
  <c r="G135" i="5"/>
  <c r="G101" i="5"/>
  <c r="G74" i="5"/>
  <c r="G40" i="5"/>
  <c r="G6" i="5"/>
  <c r="G134" i="5"/>
  <c r="G3" i="5"/>
  <c r="G185" i="5"/>
  <c r="G62" i="5"/>
  <c r="G61" i="5"/>
  <c r="G26" i="5"/>
  <c r="G119" i="5"/>
  <c r="G194" i="5"/>
  <c r="G160" i="5"/>
  <c r="G126" i="5"/>
  <c r="G99" i="5"/>
  <c r="G65" i="5"/>
  <c r="G38" i="5"/>
  <c r="G4" i="5"/>
  <c r="G125" i="5"/>
  <c r="G158" i="5"/>
  <c r="G184" i="5"/>
  <c r="G156" i="5"/>
  <c r="G34" i="5"/>
  <c r="G182" i="5"/>
  <c r="G60" i="5"/>
  <c r="G215" i="5"/>
  <c r="G180" i="5"/>
  <c r="G58" i="5"/>
  <c r="G202" i="5"/>
  <c r="G175" i="5"/>
  <c r="G141" i="5"/>
  <c r="G114" i="5"/>
  <c r="G80" i="5"/>
  <c r="G46" i="5"/>
  <c r="G19" i="5"/>
  <c r="G201" i="5"/>
  <c r="G144" i="5"/>
  <c r="G22" i="5"/>
  <c r="G82" i="5"/>
  <c r="G57" i="5"/>
  <c r="G178" i="5"/>
  <c r="G174" i="5"/>
  <c r="G143" i="5"/>
  <c r="G21" i="5"/>
  <c r="G118" i="5"/>
  <c r="G115" i="5"/>
  <c r="G106" i="5"/>
  <c r="G84" i="5"/>
  <c r="G205" i="5"/>
  <c r="G81" i="5"/>
  <c r="G177" i="5"/>
  <c r="G45" i="5"/>
  <c r="G142" i="5"/>
  <c r="G20" i="5"/>
  <c r="G117" i="5"/>
  <c r="G204" i="5"/>
  <c r="G179" i="5"/>
  <c r="G56" i="5"/>
  <c r="G176" i="5"/>
  <c r="G145" i="5"/>
  <c r="G140" i="5"/>
  <c r="G18" i="5"/>
  <c r="G206" i="5"/>
  <c r="G203" i="5"/>
  <c r="G55" i="5"/>
  <c r="G23" i="5"/>
  <c r="G116" i="5"/>
  <c r="G83" i="5"/>
  <c r="G79" i="5"/>
  <c r="G54" i="5"/>
  <c r="D3" i="5" l="1"/>
  <c r="D10" i="4"/>
  <c r="D3" i="6"/>
  <c r="D92" i="5"/>
  <c r="D2" i="4"/>
  <c r="D4" i="4"/>
  <c r="D3" i="4"/>
  <c r="D161" i="4"/>
  <c r="D5" i="4"/>
  <c r="D63" i="6"/>
  <c r="D21" i="2"/>
  <c r="D250" i="2"/>
  <c r="D2" i="2"/>
  <c r="D80" i="2"/>
  <c r="D130" i="6"/>
  <c r="D198" i="6"/>
  <c r="D305" i="6"/>
  <c r="D257" i="6"/>
  <c r="D135" i="6"/>
  <c r="D310" i="6"/>
  <c r="D297" i="6"/>
  <c r="D180" i="6"/>
  <c r="D225" i="6"/>
  <c r="D87" i="6"/>
  <c r="D98" i="6"/>
  <c r="D92" i="6"/>
  <c r="D181" i="6"/>
  <c r="D234" i="6"/>
  <c r="D46" i="6"/>
  <c r="D107" i="6"/>
  <c r="D112" i="6"/>
  <c r="D201" i="6"/>
  <c r="D117" i="6"/>
  <c r="D66" i="6"/>
  <c r="D132" i="6"/>
  <c r="D221" i="6"/>
  <c r="D43" i="6"/>
  <c r="D285" i="6"/>
  <c r="D118" i="6"/>
  <c r="D72" i="6"/>
  <c r="D161" i="6"/>
  <c r="D296" i="6"/>
  <c r="D26" i="6"/>
  <c r="D288" i="6"/>
  <c r="D11" i="6"/>
  <c r="D238" i="6"/>
  <c r="D40" i="6"/>
  <c r="D298" i="6"/>
  <c r="D302" i="6"/>
  <c r="D35" i="6"/>
  <c r="D265" i="6"/>
  <c r="D127" i="6"/>
  <c r="D51" i="6"/>
  <c r="D159" i="6"/>
  <c r="D197" i="6"/>
  <c r="D277" i="6"/>
  <c r="D262" i="6"/>
  <c r="D114" i="6"/>
  <c r="D136" i="6"/>
  <c r="D178" i="6"/>
  <c r="D282" i="6"/>
  <c r="D77" i="6"/>
  <c r="D245" i="6"/>
  <c r="D217" i="6"/>
  <c r="D158" i="6"/>
  <c r="D31" i="6"/>
  <c r="D23" i="6"/>
  <c r="D38" i="6"/>
  <c r="D258" i="6"/>
  <c r="D60" i="6"/>
  <c r="D33" i="6"/>
  <c r="D75" i="6"/>
  <c r="D86" i="6"/>
  <c r="D19" i="6"/>
  <c r="D139" i="6"/>
  <c r="D167" i="6"/>
  <c r="D147" i="6"/>
  <c r="D106" i="6"/>
  <c r="D133" i="6"/>
  <c r="D241" i="6"/>
  <c r="D199" i="6"/>
  <c r="D100" i="6"/>
  <c r="D152" i="6"/>
  <c r="D71" i="6"/>
  <c r="D237" i="6"/>
  <c r="D165" i="6"/>
  <c r="D14" i="6"/>
  <c r="D177" i="6"/>
  <c r="D248" i="6"/>
  <c r="D47" i="6"/>
  <c r="D105" i="6"/>
  <c r="D20" i="6"/>
  <c r="D37" i="6"/>
  <c r="D17" i="6"/>
  <c r="D65" i="6"/>
  <c r="D202" i="6"/>
  <c r="D216" i="6"/>
  <c r="D12" i="6"/>
  <c r="D215" i="6"/>
  <c r="D173" i="6"/>
  <c r="D56" i="6"/>
  <c r="D278" i="6"/>
  <c r="D81" i="6"/>
  <c r="D294" i="6"/>
  <c r="D274" i="6"/>
  <c r="D25" i="6"/>
  <c r="D5" i="6"/>
  <c r="D283" i="6"/>
  <c r="D213" i="6"/>
  <c r="D236" i="6"/>
  <c r="D168" i="6"/>
  <c r="D194" i="6"/>
  <c r="D205" i="6"/>
  <c r="D306" i="6"/>
  <c r="D264" i="6"/>
  <c r="D284" i="6"/>
  <c r="D255" i="6"/>
  <c r="D263" i="6"/>
  <c r="D58" i="6"/>
  <c r="D142" i="6"/>
  <c r="D41" i="6"/>
  <c r="D155" i="6"/>
  <c r="D93" i="6"/>
  <c r="D271" i="6"/>
  <c r="D190" i="6"/>
  <c r="D148" i="6"/>
  <c r="D273" i="6"/>
  <c r="D204" i="6"/>
  <c r="D286" i="6"/>
  <c r="D84" i="6"/>
  <c r="D244" i="6"/>
  <c r="D55" i="6"/>
  <c r="D243" i="6"/>
  <c r="D18" i="6"/>
  <c r="D122" i="6"/>
  <c r="D21" i="6"/>
  <c r="D115" i="6"/>
  <c r="D13" i="6"/>
  <c r="D251" i="6"/>
  <c r="D170" i="6"/>
  <c r="D128" i="6"/>
  <c r="D53" i="6"/>
  <c r="D144" i="6"/>
  <c r="D266" i="6"/>
  <c r="D299" i="6"/>
  <c r="D224" i="6"/>
  <c r="D154" i="6"/>
  <c r="D223" i="6"/>
  <c r="D96" i="6"/>
  <c r="D102" i="6"/>
  <c r="D2" i="6"/>
  <c r="D254" i="6"/>
  <c r="D312" i="6"/>
  <c r="D231" i="6"/>
  <c r="D150" i="6"/>
  <c r="D108" i="6"/>
  <c r="D307" i="6"/>
  <c r="D124" i="6"/>
  <c r="D246" i="6"/>
  <c r="D99" i="6"/>
  <c r="D184" i="6"/>
  <c r="D54" i="6"/>
  <c r="D203" i="6"/>
  <c r="D315" i="6"/>
  <c r="D82" i="6"/>
  <c r="D300" i="6"/>
  <c r="D134" i="6"/>
  <c r="D292" i="6"/>
  <c r="D211" i="6"/>
  <c r="D209" i="6"/>
  <c r="D89" i="6"/>
  <c r="D69" i="6"/>
  <c r="D49" i="6"/>
  <c r="D29" i="6"/>
  <c r="D9" i="6"/>
  <c r="D309" i="6"/>
  <c r="D269" i="6"/>
  <c r="D289" i="6"/>
  <c r="D249" i="6"/>
  <c r="D229" i="6"/>
  <c r="D189" i="6"/>
  <c r="D169" i="6"/>
  <c r="D149" i="6"/>
  <c r="D129" i="6"/>
  <c r="D109" i="6"/>
  <c r="D76" i="6"/>
  <c r="D256" i="6"/>
  <c r="D242" i="6"/>
  <c r="D57" i="6"/>
  <c r="D290" i="6"/>
  <c r="D16" i="6"/>
  <c r="D145" i="6"/>
  <c r="D313" i="6"/>
  <c r="D121" i="6"/>
  <c r="D32" i="6"/>
  <c r="D308" i="6"/>
  <c r="D125" i="6"/>
  <c r="D153" i="6"/>
  <c r="D101" i="6"/>
  <c r="D250" i="6"/>
  <c r="D45" i="6"/>
  <c r="D303" i="6"/>
  <c r="D156" i="6"/>
  <c r="D230" i="6"/>
  <c r="D6" i="6"/>
  <c r="D275" i="6"/>
  <c r="D138" i="6"/>
  <c r="D61" i="6"/>
  <c r="D295" i="6"/>
  <c r="D291" i="6"/>
  <c r="D226" i="6"/>
  <c r="D164" i="6"/>
  <c r="D183" i="6"/>
  <c r="D74" i="6"/>
  <c r="D272" i="6"/>
  <c r="D191" i="6"/>
  <c r="D267" i="6"/>
  <c r="D206" i="6"/>
  <c r="D64" i="6"/>
  <c r="D163" i="6"/>
  <c r="D42" i="6"/>
  <c r="D233" i="6"/>
  <c r="D252" i="6"/>
  <c r="D90" i="6"/>
  <c r="D247" i="6"/>
  <c r="D186" i="6"/>
  <c r="D24" i="6"/>
  <c r="D143" i="6"/>
  <c r="D22" i="6"/>
  <c r="D193" i="6"/>
  <c r="D151" i="6"/>
  <c r="D28" i="6"/>
  <c r="D179" i="6"/>
  <c r="D95" i="6"/>
  <c r="D4" i="6"/>
  <c r="D214" i="6"/>
  <c r="D220" i="6"/>
  <c r="D212" i="6"/>
  <c r="D50" i="6"/>
  <c r="D8" i="6"/>
  <c r="D207" i="6"/>
  <c r="D119" i="6"/>
  <c r="D146" i="6"/>
  <c r="D34" i="6"/>
  <c r="D239" i="6"/>
  <c r="D235" i="6"/>
  <c r="D103" i="6"/>
  <c r="D94" i="6"/>
  <c r="D281" i="6"/>
  <c r="D140" i="6"/>
  <c r="D200" i="6"/>
  <c r="D192" i="6"/>
  <c r="D111" i="6"/>
  <c r="D30" i="6"/>
  <c r="D268" i="6"/>
  <c r="D67" i="6"/>
  <c r="D185" i="6"/>
  <c r="D80" i="6"/>
  <c r="D141" i="6"/>
  <c r="D52" i="6"/>
  <c r="D137" i="6"/>
  <c r="D176" i="6"/>
  <c r="D222" i="6"/>
  <c r="D276" i="6"/>
  <c r="D270" i="6"/>
  <c r="D228" i="6"/>
  <c r="D27" i="6"/>
  <c r="D174" i="6"/>
  <c r="D116" i="6"/>
  <c r="D219" i="6"/>
  <c r="D36" i="6"/>
  <c r="D208" i="6"/>
  <c r="D7" i="6"/>
  <c r="D85" i="6"/>
  <c r="D182" i="6"/>
  <c r="D311" i="6"/>
  <c r="D188" i="6"/>
  <c r="D73" i="6"/>
  <c r="D162" i="6"/>
  <c r="D210" i="6"/>
  <c r="D88" i="6"/>
  <c r="D287" i="6"/>
  <c r="D104" i="6"/>
  <c r="D218" i="6"/>
  <c r="D304" i="6"/>
  <c r="D195" i="6"/>
  <c r="D62" i="6"/>
  <c r="D280" i="6"/>
  <c r="D110" i="6"/>
  <c r="D68" i="6"/>
  <c r="D44" i="6"/>
  <c r="D78" i="6"/>
  <c r="D79" i="6"/>
  <c r="D15" i="6"/>
  <c r="D260" i="6"/>
  <c r="D171" i="6"/>
  <c r="D48" i="6"/>
  <c r="D279" i="6"/>
  <c r="D157" i="6"/>
  <c r="D97" i="6"/>
  <c r="D314" i="6"/>
  <c r="D240" i="6"/>
  <c r="D232" i="6"/>
  <c r="D70" i="6"/>
  <c r="D227" i="6"/>
  <c r="D166" i="6"/>
  <c r="D196" i="6"/>
  <c r="D123" i="6"/>
  <c r="D301" i="6"/>
  <c r="D113" i="6"/>
  <c r="D131" i="6"/>
  <c r="D259" i="6"/>
  <c r="D187" i="6"/>
  <c r="D39" i="6"/>
  <c r="D126" i="6"/>
  <c r="D293" i="6"/>
  <c r="D59" i="6"/>
  <c r="D175" i="6"/>
  <c r="D83" i="6"/>
  <c r="D253" i="6"/>
  <c r="D261" i="6"/>
  <c r="D120" i="6"/>
  <c r="D160" i="6"/>
  <c r="D172" i="6"/>
  <c r="D91" i="6"/>
  <c r="D10" i="6"/>
  <c r="D96" i="5"/>
  <c r="D140" i="4"/>
  <c r="D165" i="2"/>
  <c r="D276" i="4"/>
  <c r="D183" i="2"/>
  <c r="D55" i="4"/>
  <c r="D163" i="2"/>
  <c r="D206" i="5"/>
  <c r="D72" i="5"/>
  <c r="D41" i="5"/>
  <c r="D174" i="5"/>
  <c r="D270" i="4"/>
  <c r="D47" i="2"/>
  <c r="D271" i="4"/>
  <c r="D61" i="5"/>
  <c r="D278" i="2"/>
  <c r="D27" i="2"/>
  <c r="D241" i="2"/>
  <c r="D34" i="2"/>
  <c r="D36" i="5"/>
  <c r="D206" i="4"/>
  <c r="D269" i="4"/>
  <c r="D59" i="4"/>
  <c r="D289" i="4"/>
  <c r="D99" i="4"/>
  <c r="D213" i="4"/>
  <c r="D160" i="4"/>
  <c r="D117" i="4"/>
  <c r="D50" i="4"/>
  <c r="D300" i="4"/>
  <c r="D44" i="4"/>
  <c r="D299" i="4"/>
  <c r="D95" i="4"/>
  <c r="D108" i="4"/>
  <c r="D311" i="4"/>
  <c r="D177" i="4"/>
  <c r="D25" i="4"/>
  <c r="D80" i="4"/>
  <c r="D215" i="4"/>
  <c r="D20" i="4"/>
  <c r="D257" i="4"/>
  <c r="D100" i="4"/>
  <c r="D209" i="4"/>
  <c r="D239" i="4"/>
  <c r="D228" i="4"/>
  <c r="D279" i="4"/>
  <c r="D260" i="4"/>
  <c r="D272" i="4"/>
  <c r="D69" i="4"/>
  <c r="D264" i="4"/>
  <c r="D149" i="4"/>
  <c r="D128" i="4"/>
  <c r="D168" i="4"/>
  <c r="D30" i="4"/>
  <c r="D51" i="4"/>
  <c r="D37" i="4"/>
  <c r="D268" i="4"/>
  <c r="D218" i="4"/>
  <c r="D14" i="4"/>
  <c r="D284" i="4"/>
  <c r="D304" i="4"/>
  <c r="D179" i="4"/>
  <c r="D60" i="4"/>
  <c r="D200" i="4"/>
  <c r="D152" i="4"/>
  <c r="D250" i="4"/>
  <c r="D231" i="4"/>
  <c r="D261" i="2"/>
  <c r="D311" i="2"/>
  <c r="D288" i="4"/>
  <c r="D45" i="4"/>
  <c r="D113" i="5"/>
  <c r="D107" i="5"/>
  <c r="D254" i="2"/>
  <c r="D291" i="2"/>
  <c r="D298" i="2"/>
  <c r="D21" i="5"/>
  <c r="D82" i="2"/>
  <c r="D251" i="2"/>
  <c r="D200" i="5"/>
  <c r="D273" i="2"/>
  <c r="D73" i="2"/>
  <c r="D193" i="2"/>
  <c r="D253" i="2"/>
  <c r="D72" i="2"/>
  <c r="D213" i="2"/>
  <c r="D52" i="2"/>
  <c r="D177" i="2"/>
  <c r="D233" i="2"/>
  <c r="D54" i="2"/>
  <c r="D53" i="2"/>
  <c r="D38" i="2"/>
  <c r="D32" i="2"/>
  <c r="D153" i="2"/>
  <c r="D13" i="2"/>
  <c r="D173" i="2"/>
  <c r="D172" i="2"/>
  <c r="D152" i="2"/>
  <c r="D12" i="2"/>
  <c r="D4" i="2"/>
  <c r="D293" i="2"/>
  <c r="D133" i="2"/>
  <c r="D132" i="2"/>
  <c r="D313" i="2"/>
  <c r="D160" i="2"/>
  <c r="D121" i="2"/>
  <c r="D78" i="2"/>
  <c r="D94" i="2"/>
  <c r="D112" i="2"/>
  <c r="D93" i="2"/>
  <c r="D92" i="2"/>
  <c r="D33" i="2"/>
  <c r="D113" i="2"/>
  <c r="D29" i="2"/>
  <c r="D270" i="2"/>
  <c r="D210" i="2"/>
  <c r="D232" i="2"/>
  <c r="D256" i="2"/>
  <c r="D158" i="2"/>
  <c r="D180" i="2"/>
  <c r="D17" i="2"/>
  <c r="D122" i="2"/>
  <c r="D64" i="2"/>
  <c r="D41" i="2"/>
  <c r="D186" i="2"/>
  <c r="D107" i="2"/>
  <c r="D68" i="2"/>
  <c r="D77" i="2"/>
  <c r="D127" i="2"/>
  <c r="D234" i="2"/>
  <c r="D312" i="2"/>
  <c r="D238" i="2"/>
  <c r="D81" i="2"/>
  <c r="D187" i="2"/>
  <c r="D71" i="2"/>
  <c r="D280" i="2"/>
  <c r="D164" i="2"/>
  <c r="D207" i="2"/>
  <c r="D188" i="2"/>
  <c r="D117" i="2"/>
  <c r="D277" i="2"/>
  <c r="D62" i="2"/>
  <c r="D40" i="2"/>
  <c r="D79" i="2"/>
  <c r="D49" i="2"/>
  <c r="D290" i="2"/>
  <c r="D230" i="2"/>
  <c r="D252" i="2"/>
  <c r="D276" i="2"/>
  <c r="D178" i="2"/>
  <c r="D200" i="2"/>
  <c r="D182" i="2"/>
  <c r="D84" i="2"/>
  <c r="D5" i="2"/>
  <c r="D226" i="2"/>
  <c r="D88" i="2"/>
  <c r="D65" i="2"/>
  <c r="D129" i="2"/>
  <c r="D101" i="2"/>
  <c r="D85" i="2"/>
  <c r="D111" i="2"/>
  <c r="D59" i="2"/>
  <c r="D274" i="2"/>
  <c r="D16" i="2"/>
  <c r="D145" i="2"/>
  <c r="D69" i="2"/>
  <c r="D310" i="2"/>
  <c r="D11" i="2"/>
  <c r="D272" i="2"/>
  <c r="D296" i="2"/>
  <c r="D198" i="2"/>
  <c r="D220" i="2"/>
  <c r="D140" i="2"/>
  <c r="D3" i="2"/>
  <c r="D104" i="2"/>
  <c r="D25" i="2"/>
  <c r="D246" i="2"/>
  <c r="D147" i="2"/>
  <c r="D108" i="2"/>
  <c r="D23" i="2"/>
  <c r="D266" i="2"/>
  <c r="D128" i="2"/>
  <c r="D109" i="2"/>
  <c r="D217" i="2"/>
  <c r="D260" i="2"/>
  <c r="D43" i="2"/>
  <c r="D286" i="2"/>
  <c r="D148" i="2"/>
  <c r="D194" i="2"/>
  <c r="D19" i="2"/>
  <c r="D63" i="2"/>
  <c r="D306" i="2"/>
  <c r="D315" i="2"/>
  <c r="D247" i="2"/>
  <c r="D131" i="2"/>
  <c r="D161" i="2"/>
  <c r="D102" i="2"/>
  <c r="D224" i="2"/>
  <c r="D75" i="2"/>
  <c r="D89" i="2"/>
  <c r="D14" i="2"/>
  <c r="D31" i="2"/>
  <c r="D292" i="2"/>
  <c r="D197" i="2"/>
  <c r="D218" i="2"/>
  <c r="D240" i="2"/>
  <c r="D61" i="2"/>
  <c r="D124" i="2"/>
  <c r="D45" i="2"/>
  <c r="D167" i="2"/>
  <c r="D51" i="2"/>
  <c r="D144" i="2"/>
  <c r="D55" i="2"/>
  <c r="D237" i="2"/>
  <c r="D141" i="2"/>
  <c r="D103" i="2"/>
  <c r="D125" i="2"/>
  <c r="D189" i="2"/>
  <c r="D297" i="2"/>
  <c r="D267" i="2"/>
  <c r="D149" i="2"/>
  <c r="D155" i="2"/>
  <c r="D91" i="2"/>
  <c r="D295" i="2"/>
  <c r="D257" i="2"/>
  <c r="D39" i="2"/>
  <c r="D300" i="2"/>
  <c r="D22" i="2"/>
  <c r="D83" i="2"/>
  <c r="D184" i="2"/>
  <c r="D105" i="2"/>
  <c r="D74" i="2"/>
  <c r="D227" i="2"/>
  <c r="D208" i="2"/>
  <c r="D169" i="2"/>
  <c r="D204" i="2"/>
  <c r="D228" i="2"/>
  <c r="D123" i="2"/>
  <c r="D248" i="2"/>
  <c r="D165" i="5"/>
  <c r="D46" i="2"/>
  <c r="D168" i="2"/>
  <c r="D195" i="2"/>
  <c r="D279" i="2"/>
  <c r="D159" i="5"/>
  <c r="D236" i="2"/>
  <c r="D229" i="4"/>
  <c r="D199" i="4"/>
  <c r="D24" i="4"/>
  <c r="D195" i="4"/>
  <c r="D189" i="5"/>
  <c r="D249" i="2"/>
  <c r="D316" i="4"/>
  <c r="D135" i="5"/>
  <c r="D229" i="2"/>
  <c r="D19" i="4"/>
  <c r="D237" i="4"/>
  <c r="D115" i="5"/>
  <c r="D264" i="2"/>
  <c r="D129" i="4"/>
  <c r="D129" i="5"/>
  <c r="D68" i="4"/>
  <c r="D183" i="5"/>
  <c r="D44" i="2"/>
  <c r="D159" i="2"/>
  <c r="D163" i="5"/>
  <c r="D24" i="2"/>
  <c r="D116" i="2"/>
  <c r="D294" i="4"/>
  <c r="D46" i="4"/>
  <c r="D154" i="4"/>
  <c r="D153" i="5"/>
  <c r="D197" i="4"/>
  <c r="D133" i="4"/>
  <c r="D132" i="4"/>
  <c r="D190" i="5"/>
  <c r="D103" i="5"/>
  <c r="D138" i="5"/>
  <c r="D133" i="5"/>
  <c r="D271" i="2"/>
  <c r="D32" i="5"/>
  <c r="D42" i="2"/>
  <c r="D174" i="2"/>
  <c r="D12" i="5"/>
  <c r="D134" i="2"/>
  <c r="D171" i="5"/>
  <c r="D291" i="4"/>
  <c r="D20" i="2"/>
  <c r="D302" i="2"/>
  <c r="D289" i="2"/>
  <c r="D157" i="2"/>
  <c r="D314" i="2"/>
  <c r="D259" i="2"/>
  <c r="D269" i="2"/>
  <c r="D234" i="4"/>
  <c r="D262" i="2"/>
  <c r="D239" i="2"/>
  <c r="D194" i="5"/>
  <c r="D28" i="2"/>
  <c r="D242" i="2"/>
  <c r="D190" i="2"/>
  <c r="D303" i="4"/>
  <c r="D134" i="5"/>
  <c r="D222" i="2"/>
  <c r="D170" i="2"/>
  <c r="D148" i="4"/>
  <c r="D56" i="4"/>
  <c r="D95" i="5"/>
  <c r="D91" i="4"/>
  <c r="D213" i="5"/>
  <c r="D243" i="4"/>
  <c r="D233" i="4"/>
  <c r="D193" i="5"/>
  <c r="D139" i="2"/>
  <c r="D29" i="5"/>
  <c r="D285" i="2"/>
  <c r="D275" i="2"/>
  <c r="D90" i="2"/>
  <c r="D22" i="4"/>
  <c r="D232" i="4"/>
  <c r="D294" i="2"/>
  <c r="D70" i="2"/>
  <c r="D281" i="4"/>
  <c r="D26" i="4"/>
  <c r="D263" i="2"/>
  <c r="D56" i="2"/>
  <c r="D137" i="2"/>
  <c r="D125" i="4"/>
  <c r="D277" i="4"/>
  <c r="D113" i="4"/>
  <c r="D15" i="4"/>
  <c r="D170" i="5"/>
  <c r="D83" i="5"/>
  <c r="D118" i="5"/>
  <c r="D143" i="2"/>
  <c r="D221" i="2"/>
  <c r="D205" i="5"/>
  <c r="D215" i="2"/>
  <c r="D185" i="5"/>
  <c r="D66" i="2"/>
  <c r="D181" i="2"/>
  <c r="D231" i="2"/>
  <c r="D97" i="5"/>
  <c r="D309" i="2"/>
  <c r="D179" i="5"/>
  <c r="D156" i="5"/>
  <c r="D186" i="4"/>
  <c r="D44" i="5"/>
  <c r="D155" i="5"/>
  <c r="D57" i="5"/>
  <c r="D35" i="5"/>
  <c r="D121" i="5"/>
  <c r="D64" i="5"/>
  <c r="D187" i="5"/>
  <c r="D11" i="5"/>
  <c r="D172" i="5"/>
  <c r="D177" i="5"/>
  <c r="D151" i="5"/>
  <c r="D202" i="5"/>
  <c r="D90" i="5"/>
  <c r="D53" i="5"/>
  <c r="D85" i="5"/>
  <c r="D119" i="5"/>
  <c r="D175" i="5"/>
  <c r="D77" i="5"/>
  <c r="D16" i="5"/>
  <c r="D141" i="5"/>
  <c r="D84" i="5"/>
  <c r="D207" i="5"/>
  <c r="D191" i="5"/>
  <c r="D192" i="5"/>
  <c r="D19" i="5"/>
  <c r="D70" i="5"/>
  <c r="D39" i="5"/>
  <c r="D43" i="5"/>
  <c r="D63" i="5"/>
  <c r="D10" i="5"/>
  <c r="D195" i="5"/>
  <c r="D117" i="5"/>
  <c r="D76" i="5"/>
  <c r="D161" i="5"/>
  <c r="D104" i="5"/>
  <c r="D108" i="5"/>
  <c r="D211" i="5"/>
  <c r="D154" i="5"/>
  <c r="D201" i="5"/>
  <c r="D148" i="5"/>
  <c r="D197" i="5"/>
  <c r="D168" i="5"/>
  <c r="D196" i="5"/>
  <c r="D51" i="5"/>
  <c r="D78" i="5"/>
  <c r="D71" i="5"/>
  <c r="D91" i="5"/>
  <c r="D215" i="5"/>
  <c r="D157" i="5"/>
  <c r="D116" i="5"/>
  <c r="D181" i="5"/>
  <c r="D124" i="5"/>
  <c r="D128" i="5"/>
  <c r="D50" i="5"/>
  <c r="D111" i="5"/>
  <c r="D144" i="5"/>
  <c r="D55" i="5"/>
  <c r="D164" i="5"/>
  <c r="D58" i="5"/>
  <c r="D109" i="5"/>
  <c r="D73" i="5"/>
  <c r="D105" i="5"/>
  <c r="D13" i="5"/>
  <c r="D56" i="5"/>
  <c r="D18" i="5"/>
  <c r="D59" i="5"/>
  <c r="D184" i="5"/>
  <c r="D188" i="5"/>
  <c r="D110" i="5"/>
  <c r="D33" i="5"/>
  <c r="D176" i="5"/>
  <c r="D38" i="5"/>
  <c r="D79" i="5"/>
  <c r="D23" i="5"/>
  <c r="D204" i="5"/>
  <c r="D208" i="5"/>
  <c r="D31" i="5"/>
  <c r="D99" i="5"/>
  <c r="D216" i="5"/>
  <c r="D150" i="5"/>
  <c r="D48" i="2"/>
  <c r="D151" i="2"/>
  <c r="D29" i="4"/>
  <c r="D155" i="4"/>
  <c r="D134" i="4"/>
  <c r="D175" i="2"/>
  <c r="D219" i="2"/>
  <c r="D149" i="5"/>
  <c r="D176" i="2"/>
  <c r="D209" i="2"/>
  <c r="D238" i="4"/>
  <c r="D126" i="4"/>
  <c r="D283" i="4"/>
  <c r="D191" i="4"/>
  <c r="D203" i="5"/>
  <c r="D146" i="2"/>
  <c r="D202" i="2"/>
  <c r="D150" i="2"/>
  <c r="D106" i="4"/>
  <c r="D89" i="5"/>
  <c r="D7" i="2"/>
  <c r="D136" i="2"/>
  <c r="D89" i="4"/>
  <c r="D256" i="4"/>
  <c r="D198" i="5"/>
  <c r="D142" i="2"/>
  <c r="D26" i="2"/>
  <c r="D62" i="4"/>
  <c r="D107" i="4"/>
  <c r="D38" i="4"/>
  <c r="D66" i="4"/>
  <c r="D72" i="4"/>
  <c r="D173" i="5"/>
  <c r="D115" i="2"/>
  <c r="D303" i="2"/>
  <c r="D100" i="2"/>
  <c r="D307" i="4"/>
  <c r="D137" i="4"/>
  <c r="D158" i="5"/>
  <c r="D135" i="2"/>
  <c r="D76" i="2"/>
  <c r="D287" i="4"/>
  <c r="D114" i="2"/>
  <c r="D118" i="2"/>
  <c r="D181" i="4"/>
  <c r="D243" i="2"/>
  <c r="D214" i="2"/>
  <c r="D58" i="2"/>
  <c r="D36" i="2"/>
  <c r="D30" i="2"/>
  <c r="D235" i="2"/>
  <c r="D81" i="4"/>
  <c r="D298" i="4"/>
  <c r="D241" i="4"/>
  <c r="D105" i="4"/>
  <c r="D222" i="4"/>
  <c r="D135" i="4"/>
  <c r="D74" i="4"/>
  <c r="D152" i="5"/>
  <c r="D167" i="5"/>
  <c r="D98" i="5"/>
  <c r="D93" i="5"/>
  <c r="D57" i="2"/>
  <c r="D52" i="5"/>
  <c r="D120" i="2"/>
  <c r="D201" i="2"/>
  <c r="D137" i="5"/>
  <c r="D299" i="2"/>
  <c r="D211" i="2"/>
  <c r="D145" i="5"/>
  <c r="D191" i="2"/>
  <c r="D125" i="5"/>
  <c r="D282" i="2"/>
  <c r="D49" i="4"/>
  <c r="D139" i="5"/>
  <c r="D97" i="2"/>
  <c r="D159" i="4"/>
  <c r="D24" i="5"/>
  <c r="D196" i="2"/>
  <c r="D208" i="4"/>
  <c r="D275" i="4"/>
  <c r="D4" i="5"/>
  <c r="D8" i="2"/>
  <c r="D199" i="2"/>
  <c r="D111" i="4"/>
  <c r="D156" i="2"/>
  <c r="D109" i="4"/>
  <c r="D136" i="4"/>
  <c r="D94" i="5"/>
  <c r="D6" i="2"/>
  <c r="D130" i="2"/>
  <c r="D8" i="4"/>
  <c r="D86" i="4"/>
  <c r="D69" i="5"/>
  <c r="D255" i="2"/>
  <c r="D110" i="2"/>
  <c r="D223" i="4"/>
  <c r="D143" i="5"/>
  <c r="D96" i="2"/>
  <c r="D7" i="4"/>
  <c r="D123" i="5"/>
  <c r="D283" i="2"/>
  <c r="D219" i="4"/>
  <c r="D225" i="2"/>
  <c r="D287" i="2"/>
  <c r="D223" i="2"/>
  <c r="D301" i="2"/>
  <c r="D95" i="2"/>
  <c r="D212" i="2"/>
  <c r="D10" i="2"/>
  <c r="D154" i="2"/>
  <c r="D41" i="4"/>
  <c r="D98" i="4"/>
  <c r="D201" i="4"/>
  <c r="D85" i="4"/>
  <c r="D142" i="4"/>
  <c r="D255" i="4"/>
  <c r="D132" i="5"/>
  <c r="D147" i="5"/>
  <c r="D101" i="5"/>
  <c r="D17" i="5"/>
  <c r="D206" i="2"/>
  <c r="D217" i="5"/>
  <c r="D126" i="2"/>
  <c r="D60" i="2"/>
  <c r="D258" i="2"/>
  <c r="D199" i="5"/>
  <c r="D37" i="2"/>
  <c r="D138" i="2"/>
  <c r="D37" i="5"/>
  <c r="D98" i="2"/>
  <c r="D131" i="5"/>
  <c r="D268" i="2"/>
  <c r="D171" i="2"/>
  <c r="D216" i="4"/>
  <c r="D304" i="2"/>
  <c r="D216" i="2"/>
  <c r="D189" i="4"/>
  <c r="D166" i="4"/>
  <c r="D169" i="5"/>
  <c r="D284" i="2"/>
  <c r="D169" i="4"/>
  <c r="D146" i="4"/>
  <c r="D53" i="4"/>
  <c r="D173" i="4"/>
  <c r="D116" i="4"/>
  <c r="D297" i="4"/>
  <c r="D34" i="4"/>
  <c r="D302" i="4"/>
  <c r="D64" i="4"/>
  <c r="D145" i="4"/>
  <c r="D226" i="4"/>
  <c r="D122" i="4"/>
  <c r="D220" i="4"/>
  <c r="D120" i="4"/>
  <c r="D249" i="4"/>
  <c r="D102" i="4"/>
  <c r="D70" i="4"/>
  <c r="D33" i="4"/>
  <c r="D144" i="4"/>
  <c r="D306" i="4"/>
  <c r="D182" i="4"/>
  <c r="D150" i="4"/>
  <c r="D253" i="4"/>
  <c r="D12" i="4"/>
  <c r="D164" i="4"/>
  <c r="D198" i="4"/>
  <c r="D170" i="4"/>
  <c r="D114" i="4"/>
  <c r="D175" i="4"/>
  <c r="D224" i="4"/>
  <c r="D247" i="4"/>
  <c r="D9" i="4"/>
  <c r="D163" i="4"/>
  <c r="D151" i="4"/>
  <c r="D273" i="4"/>
  <c r="D36" i="4"/>
  <c r="D97" i="4"/>
  <c r="D252" i="4"/>
  <c r="D84" i="4"/>
  <c r="D165" i="4"/>
  <c r="D246" i="4"/>
  <c r="D242" i="4"/>
  <c r="D101" i="4"/>
  <c r="D180" i="4"/>
  <c r="D309" i="4"/>
  <c r="D202" i="4"/>
  <c r="D90" i="4"/>
  <c r="D156" i="4"/>
  <c r="D63" i="4"/>
  <c r="D167" i="4"/>
  <c r="D314" i="4"/>
  <c r="D77" i="4"/>
  <c r="D83" i="4"/>
  <c r="D245" i="4"/>
  <c r="D178" i="4"/>
  <c r="D187" i="4"/>
  <c r="D141" i="4"/>
  <c r="D52" i="4"/>
  <c r="D96" i="4"/>
  <c r="D143" i="4"/>
  <c r="D139" i="4"/>
  <c r="D230" i="4"/>
  <c r="D310" i="4"/>
  <c r="D115" i="4"/>
  <c r="D267" i="4"/>
  <c r="D313" i="4"/>
  <c r="D251" i="4"/>
  <c r="D211" i="4"/>
  <c r="D235" i="4"/>
  <c r="D17" i="4"/>
  <c r="D71" i="4"/>
  <c r="D23" i="4"/>
  <c r="D104" i="4"/>
  <c r="D185" i="4"/>
  <c r="D266" i="4"/>
  <c r="D47" i="4"/>
  <c r="D221" i="4"/>
  <c r="D280" i="4"/>
  <c r="D18" i="4"/>
  <c r="D27" i="4"/>
  <c r="D110" i="4"/>
  <c r="D54" i="4"/>
  <c r="D73" i="4"/>
  <c r="D225" i="4"/>
  <c r="D147" i="4"/>
  <c r="D61" i="4"/>
  <c r="D172" i="4"/>
  <c r="D76" i="4"/>
  <c r="D28" i="4"/>
  <c r="D274" i="4"/>
  <c r="D292" i="4"/>
  <c r="D119" i="4"/>
  <c r="D295" i="4"/>
  <c r="D138" i="4"/>
  <c r="D259" i="4"/>
  <c r="D212" i="4"/>
  <c r="D94" i="4"/>
  <c r="D131" i="4"/>
  <c r="D217" i="4"/>
  <c r="D296" i="4"/>
  <c r="D171" i="4"/>
  <c r="D43" i="4"/>
  <c r="D124" i="4"/>
  <c r="D205" i="4"/>
  <c r="D286" i="4"/>
  <c r="D127" i="4"/>
  <c r="D42" i="4"/>
  <c r="D21" i="4"/>
  <c r="D58" i="4"/>
  <c r="D87" i="4"/>
  <c r="D130" i="4"/>
  <c r="D214" i="4"/>
  <c r="D157" i="4"/>
  <c r="D118" i="4"/>
  <c r="D282" i="4"/>
  <c r="D305" i="4"/>
  <c r="D88" i="4"/>
  <c r="D153" i="4"/>
  <c r="D244" i="4"/>
  <c r="D31" i="4"/>
  <c r="D112" i="4"/>
  <c r="D75" i="4"/>
  <c r="D236" i="4"/>
  <c r="D16" i="4"/>
  <c r="D92" i="4"/>
  <c r="D103" i="4"/>
  <c r="D184" i="4"/>
  <c r="D265" i="4"/>
  <c r="D258" i="4"/>
  <c r="D207" i="4"/>
  <c r="D67" i="4"/>
  <c r="D301" i="4"/>
  <c r="D278" i="4"/>
  <c r="D188" i="4"/>
  <c r="D190" i="4"/>
  <c r="D32" i="4"/>
  <c r="D35" i="4"/>
  <c r="D174" i="4"/>
  <c r="D176" i="4"/>
  <c r="D315" i="4"/>
  <c r="D192" i="4"/>
  <c r="D123" i="4"/>
  <c r="D204" i="4"/>
  <c r="D285" i="4"/>
  <c r="D79" i="4"/>
  <c r="D227" i="4"/>
  <c r="D48" i="4"/>
  <c r="D162" i="4"/>
  <c r="D39" i="4"/>
  <c r="D248" i="4"/>
  <c r="D210" i="4"/>
  <c r="D262" i="4"/>
  <c r="D312" i="4"/>
  <c r="D6" i="4"/>
  <c r="D166" i="2"/>
  <c r="D114" i="5"/>
  <c r="D67" i="2"/>
  <c r="D244" i="2"/>
  <c r="D179" i="2"/>
  <c r="D9" i="2"/>
  <c r="D158" i="4"/>
  <c r="D263" i="4"/>
  <c r="D194" i="4"/>
  <c r="D162" i="2"/>
  <c r="D106" i="2"/>
  <c r="D78" i="4"/>
  <c r="D11" i="4"/>
  <c r="D305" i="2"/>
  <c r="D57" i="4"/>
  <c r="D178" i="5"/>
  <c r="D119" i="2"/>
  <c r="D203" i="4"/>
  <c r="D210" i="5"/>
  <c r="D265" i="2"/>
  <c r="D99" i="2"/>
  <c r="D18" i="2"/>
  <c r="D40" i="4"/>
  <c r="D183" i="4"/>
  <c r="D245" i="2"/>
  <c r="D15" i="2"/>
  <c r="D50" i="2"/>
  <c r="D82" i="4"/>
  <c r="D307" i="2"/>
  <c r="D205" i="2"/>
  <c r="D87" i="2"/>
  <c r="D185" i="2"/>
  <c r="D203" i="2"/>
  <c r="D281" i="2"/>
  <c r="D35" i="2"/>
  <c r="D192" i="2"/>
  <c r="D86" i="2"/>
  <c r="D290" i="4"/>
  <c r="D240" i="4"/>
  <c r="D308" i="4"/>
  <c r="D121" i="4"/>
  <c r="D65" i="4"/>
  <c r="D261" i="4"/>
  <c r="D196" i="4"/>
  <c r="D254" i="4"/>
  <c r="D112" i="5"/>
  <c r="D127" i="5"/>
  <c r="D81" i="5"/>
  <c r="D136" i="5"/>
  <c r="D308" i="2"/>
  <c r="D212" i="5"/>
  <c r="D288" i="2"/>
  <c r="D49" i="5"/>
  <c r="D142" i="5"/>
  <c r="D62" i="5"/>
  <c r="D8" i="5"/>
  <c r="D5" i="5"/>
  <c r="D140" i="5"/>
  <c r="D60" i="5"/>
  <c r="D7" i="5"/>
  <c r="D2" i="5"/>
  <c r="D45" i="5"/>
  <c r="D130" i="5"/>
  <c r="D54" i="5"/>
  <c r="D6" i="5"/>
  <c r="D48" i="5"/>
  <c r="D47" i="5"/>
  <c r="D46" i="5"/>
  <c r="D126" i="5"/>
  <c r="D122" i="5"/>
  <c r="D120" i="5"/>
  <c r="D106" i="5"/>
  <c r="D87" i="5"/>
  <c r="D15" i="5"/>
  <c r="D209" i="5"/>
  <c r="D40" i="5"/>
  <c r="D180" i="5"/>
  <c r="D86" i="5"/>
  <c r="D14" i="5"/>
  <c r="D34" i="5"/>
  <c r="D82" i="5"/>
  <c r="D9" i="5"/>
  <c r="D67" i="5"/>
  <c r="D214" i="5"/>
  <c r="D80" i="5"/>
  <c r="D74" i="5"/>
  <c r="D65" i="5"/>
  <c r="D166" i="5"/>
  <c r="D75" i="5"/>
  <c r="D42" i="5"/>
  <c r="D68" i="5"/>
  <c r="D66" i="5"/>
  <c r="D186" i="5"/>
  <c r="D182" i="5"/>
  <c r="D30" i="5"/>
  <c r="D100" i="5"/>
  <c r="D22" i="5"/>
  <c r="D162" i="5"/>
  <c r="D146" i="5"/>
  <c r="D88" i="5"/>
  <c r="D25" i="5"/>
  <c r="D20" i="5"/>
  <c r="D28" i="5"/>
  <c r="D27" i="5"/>
  <c r="D160" i="5"/>
  <c r="D102" i="5"/>
  <c r="D26" i="5"/>
  <c r="D293" i="4"/>
  <c r="D193" i="4"/>
  <c r="D93" i="4"/>
  <c r="D13" i="4"/>
  <c r="G264" i="1"/>
  <c r="G244" i="1"/>
  <c r="G224" i="1"/>
  <c r="G204" i="1"/>
  <c r="G184" i="1"/>
  <c r="G164" i="1"/>
  <c r="G144" i="1"/>
  <c r="G124" i="1"/>
  <c r="G104" i="1"/>
  <c r="G84" i="1"/>
  <c r="G64" i="1"/>
  <c r="G44" i="1"/>
  <c r="G24" i="1"/>
  <c r="G4" i="1"/>
  <c r="G2" i="1"/>
  <c r="G243" i="1"/>
  <c r="G223" i="1"/>
  <c r="G203" i="1"/>
  <c r="G183" i="1"/>
  <c r="G163" i="1"/>
  <c r="G143" i="1"/>
  <c r="G123" i="1"/>
  <c r="G103" i="1"/>
  <c r="G83" i="1"/>
  <c r="G63" i="1"/>
  <c r="G43" i="1"/>
  <c r="G23" i="1"/>
  <c r="G3" i="1"/>
  <c r="G262" i="1"/>
  <c r="G202" i="1"/>
  <c r="G162" i="1"/>
  <c r="G142" i="1"/>
  <c r="G102" i="1"/>
  <c r="G42" i="1"/>
  <c r="G22" i="1"/>
  <c r="G241" i="1"/>
  <c r="G101" i="1"/>
  <c r="G21" i="1"/>
  <c r="G280" i="1"/>
  <c r="G240" i="1"/>
  <c r="G220" i="1"/>
  <c r="G200" i="1"/>
  <c r="G180" i="1"/>
  <c r="G160" i="1"/>
  <c r="G140" i="1"/>
  <c r="G120" i="1"/>
  <c r="G80" i="1"/>
  <c r="G60" i="1"/>
  <c r="G40" i="1"/>
  <c r="G279" i="1"/>
  <c r="G239" i="1"/>
  <c r="G219" i="1"/>
  <c r="G199" i="1"/>
  <c r="G159" i="1"/>
  <c r="G139" i="1"/>
  <c r="G263" i="1"/>
  <c r="G82" i="1"/>
  <c r="G261" i="1"/>
  <c r="G161" i="1"/>
  <c r="G121" i="1"/>
  <c r="G61" i="1"/>
  <c r="G260" i="1"/>
  <c r="G100" i="1"/>
  <c r="G20" i="1"/>
  <c r="G259" i="1"/>
  <c r="G119" i="1"/>
  <c r="G282" i="1"/>
  <c r="G242" i="1"/>
  <c r="G222" i="1"/>
  <c r="G182" i="1"/>
  <c r="G122" i="1"/>
  <c r="G62" i="1"/>
  <c r="G281" i="1"/>
  <c r="G221" i="1"/>
  <c r="G201" i="1"/>
  <c r="G181" i="1"/>
  <c r="G141" i="1"/>
  <c r="G81" i="1"/>
  <c r="G41" i="1"/>
  <c r="G179" i="1"/>
  <c r="G79" i="1"/>
  <c r="G274" i="1"/>
  <c r="G254" i="1"/>
  <c r="G234" i="1"/>
  <c r="G214" i="1"/>
  <c r="G194" i="1"/>
  <c r="G174" i="1"/>
  <c r="G154" i="1"/>
  <c r="G134" i="1"/>
  <c r="G114" i="1"/>
  <c r="G94" i="1"/>
  <c r="G74" i="1"/>
  <c r="G54" i="1"/>
  <c r="G34" i="1"/>
  <c r="G14" i="1"/>
  <c r="G273" i="1"/>
  <c r="G253" i="1"/>
  <c r="G233" i="1"/>
  <c r="G213" i="1"/>
  <c r="G193" i="1"/>
  <c r="G173" i="1"/>
  <c r="G153" i="1"/>
  <c r="G133" i="1"/>
  <c r="G113" i="1"/>
  <c r="G93" i="1"/>
  <c r="G73" i="1"/>
  <c r="G53" i="1"/>
  <c r="G33" i="1"/>
  <c r="G13" i="1"/>
  <c r="G272" i="1"/>
  <c r="G252" i="1"/>
  <c r="G232" i="1"/>
  <c r="G212" i="1"/>
  <c r="G192" i="1"/>
  <c r="G172" i="1"/>
  <c r="G152" i="1"/>
  <c r="G132" i="1"/>
  <c r="G112" i="1"/>
  <c r="G92" i="1"/>
  <c r="G72" i="1"/>
  <c r="G52" i="1"/>
  <c r="G32" i="1"/>
  <c r="G12" i="1"/>
  <c r="G270" i="1"/>
  <c r="G230" i="1"/>
  <c r="G190" i="1"/>
  <c r="G150" i="1"/>
  <c r="G130" i="1"/>
  <c r="G90" i="1"/>
  <c r="G50" i="1"/>
  <c r="G30" i="1"/>
  <c r="G268" i="1"/>
  <c r="G228" i="1"/>
  <c r="G208" i="1"/>
  <c r="G188" i="1"/>
  <c r="G148" i="1"/>
  <c r="G108" i="1"/>
  <c r="G88" i="1"/>
  <c r="G48" i="1"/>
  <c r="G267" i="1"/>
  <c r="G247" i="1"/>
  <c r="G227" i="1"/>
  <c r="G207" i="1"/>
  <c r="G167" i="1"/>
  <c r="G147" i="1"/>
  <c r="G127" i="1"/>
  <c r="G107" i="1"/>
  <c r="G87" i="1"/>
  <c r="G67" i="1"/>
  <c r="G27" i="1"/>
  <c r="G265" i="1"/>
  <c r="G245" i="1"/>
  <c r="G205" i="1"/>
  <c r="G185" i="1"/>
  <c r="G165" i="1"/>
  <c r="G105" i="1"/>
  <c r="G85" i="1"/>
  <c r="G65" i="1"/>
  <c r="G45" i="1"/>
  <c r="G271" i="1"/>
  <c r="G251" i="1"/>
  <c r="G231" i="1"/>
  <c r="G211" i="1"/>
  <c r="G191" i="1"/>
  <c r="G171" i="1"/>
  <c r="G151" i="1"/>
  <c r="G131" i="1"/>
  <c r="G111" i="1"/>
  <c r="G91" i="1"/>
  <c r="G71" i="1"/>
  <c r="G51" i="1"/>
  <c r="G31" i="1"/>
  <c r="G11" i="1"/>
  <c r="G250" i="1"/>
  <c r="G170" i="1"/>
  <c r="G110" i="1"/>
  <c r="G70" i="1"/>
  <c r="G10" i="1"/>
  <c r="G248" i="1"/>
  <c r="G128" i="1"/>
  <c r="G68" i="1"/>
  <c r="G8" i="1"/>
  <c r="G125" i="1"/>
  <c r="G25" i="1"/>
  <c r="G210" i="1"/>
  <c r="G168" i="1"/>
  <c r="G28" i="1"/>
  <c r="G145" i="1"/>
  <c r="G5" i="1"/>
  <c r="G269" i="1"/>
  <c r="G249" i="1"/>
  <c r="G229" i="1"/>
  <c r="G209" i="1"/>
  <c r="G189" i="1"/>
  <c r="G169" i="1"/>
  <c r="G149" i="1"/>
  <c r="G129" i="1"/>
  <c r="G109" i="1"/>
  <c r="G89" i="1"/>
  <c r="G69" i="1"/>
  <c r="G49" i="1"/>
  <c r="G29" i="1"/>
  <c r="G9" i="1"/>
  <c r="G187" i="1"/>
  <c r="G47" i="1"/>
  <c r="G7" i="1"/>
  <c r="G266" i="1"/>
  <c r="G246" i="1"/>
  <c r="G226" i="1"/>
  <c r="G206" i="1"/>
  <c r="G186" i="1"/>
  <c r="G166" i="1"/>
  <c r="G146" i="1"/>
  <c r="G126" i="1"/>
  <c r="G106" i="1"/>
  <c r="G86" i="1"/>
  <c r="G66" i="1"/>
  <c r="G46" i="1"/>
  <c r="G26" i="1"/>
  <c r="G6" i="1"/>
  <c r="G225" i="1"/>
  <c r="G278" i="1"/>
  <c r="G178" i="1"/>
  <c r="G95" i="1"/>
  <c r="G258" i="1"/>
  <c r="G75" i="1"/>
  <c r="G257" i="1"/>
  <c r="G59" i="1"/>
  <c r="G156" i="1"/>
  <c r="G58" i="1"/>
  <c r="G155" i="1"/>
  <c r="G115" i="1"/>
  <c r="G197" i="1"/>
  <c r="G277" i="1"/>
  <c r="G177" i="1"/>
  <c r="G78" i="1"/>
  <c r="G175" i="1"/>
  <c r="G255" i="1"/>
  <c r="G57" i="1"/>
  <c r="G238" i="1"/>
  <c r="G56" i="1"/>
  <c r="G237" i="1"/>
  <c r="G137" i="1"/>
  <c r="G55" i="1"/>
  <c r="G136" i="1"/>
  <c r="G38" i="1"/>
  <c r="G37" i="1"/>
  <c r="G217" i="1"/>
  <c r="G19" i="1"/>
  <c r="G98" i="1"/>
  <c r="G276" i="1"/>
  <c r="G176" i="1"/>
  <c r="G77" i="1"/>
  <c r="G275" i="1"/>
  <c r="G76" i="1"/>
  <c r="G158" i="1"/>
  <c r="G157" i="1"/>
  <c r="G256" i="1"/>
  <c r="G138" i="1"/>
  <c r="G236" i="1"/>
  <c r="G39" i="1"/>
  <c r="G218" i="1"/>
  <c r="G216" i="1"/>
  <c r="G18" i="1"/>
  <c r="G15" i="1"/>
  <c r="G235" i="1"/>
  <c r="G135" i="1"/>
  <c r="G117" i="1"/>
  <c r="G36" i="1"/>
  <c r="G116" i="1"/>
  <c r="G35" i="1"/>
  <c r="G96" i="1"/>
  <c r="G118" i="1"/>
  <c r="G97" i="1"/>
  <c r="G195" i="1"/>
  <c r="G215" i="1"/>
  <c r="G99" i="1"/>
  <c r="G198" i="1"/>
  <c r="G17" i="1"/>
  <c r="G196" i="1"/>
  <c r="G16" i="1"/>
  <c r="G107" i="3"/>
  <c r="G127" i="3"/>
  <c r="G147" i="3"/>
  <c r="G167" i="3"/>
  <c r="G187" i="3"/>
  <c r="G207" i="3"/>
  <c r="G227" i="3"/>
  <c r="G247" i="3"/>
  <c r="G267" i="3"/>
  <c r="G287" i="3"/>
  <c r="G307" i="3"/>
  <c r="G110" i="3"/>
  <c r="G170" i="3"/>
  <c r="G230" i="3"/>
  <c r="G270" i="3"/>
  <c r="G131" i="3"/>
  <c r="G171" i="3"/>
  <c r="G231" i="3"/>
  <c r="G291" i="3"/>
  <c r="G132" i="3"/>
  <c r="G252" i="3"/>
  <c r="G292" i="3"/>
  <c r="G113" i="3"/>
  <c r="G213" i="3"/>
  <c r="G114" i="3"/>
  <c r="G174" i="3"/>
  <c r="G214" i="3"/>
  <c r="G294" i="3"/>
  <c r="G135" i="3"/>
  <c r="G175" i="3"/>
  <c r="G235" i="3"/>
  <c r="G156" i="3"/>
  <c r="G216" i="3"/>
  <c r="G296" i="3"/>
  <c r="G117" i="3"/>
  <c r="G157" i="3"/>
  <c r="G217" i="3"/>
  <c r="G257" i="3"/>
  <c r="G277" i="3"/>
  <c r="G178" i="3"/>
  <c r="G218" i="3"/>
  <c r="G238" i="3"/>
  <c r="G139" i="3"/>
  <c r="G179" i="3"/>
  <c r="G259" i="3"/>
  <c r="G140" i="3"/>
  <c r="G220" i="3"/>
  <c r="G260" i="3"/>
  <c r="G121" i="3"/>
  <c r="G161" i="3"/>
  <c r="G241" i="3"/>
  <c r="G301" i="3"/>
  <c r="G122" i="3"/>
  <c r="G162" i="3"/>
  <c r="G182" i="3"/>
  <c r="G282" i="3"/>
  <c r="G123" i="3"/>
  <c r="G183" i="3"/>
  <c r="G223" i="3"/>
  <c r="G283" i="3"/>
  <c r="G184" i="3"/>
  <c r="G224" i="3"/>
  <c r="G244" i="3"/>
  <c r="G304" i="3"/>
  <c r="G145" i="3"/>
  <c r="G225" i="3"/>
  <c r="G146" i="3"/>
  <c r="G226" i="3"/>
  <c r="G108" i="3"/>
  <c r="G128" i="3"/>
  <c r="G148" i="3"/>
  <c r="G168" i="3"/>
  <c r="G188" i="3"/>
  <c r="G208" i="3"/>
  <c r="G228" i="3"/>
  <c r="G248" i="3"/>
  <c r="G268" i="3"/>
  <c r="G288" i="3"/>
  <c r="G308" i="3"/>
  <c r="G150" i="3"/>
  <c r="G210" i="3"/>
  <c r="G310" i="3"/>
  <c r="G191" i="3"/>
  <c r="G211" i="3"/>
  <c r="G271" i="3"/>
  <c r="G172" i="3"/>
  <c r="G232" i="3"/>
  <c r="G272" i="3"/>
  <c r="G312" i="3"/>
  <c r="G133" i="3"/>
  <c r="G193" i="3"/>
  <c r="G253" i="3"/>
  <c r="G293" i="3"/>
  <c r="G154" i="3"/>
  <c r="G194" i="3"/>
  <c r="G234" i="3"/>
  <c r="G274" i="3"/>
  <c r="G155" i="3"/>
  <c r="G215" i="3"/>
  <c r="G255" i="3"/>
  <c r="G295" i="3"/>
  <c r="G176" i="3"/>
  <c r="G236" i="3"/>
  <c r="G137" i="3"/>
  <c r="G197" i="3"/>
  <c r="G237" i="3"/>
  <c r="G158" i="3"/>
  <c r="G258" i="3"/>
  <c r="G298" i="3"/>
  <c r="G119" i="3"/>
  <c r="G159" i="3"/>
  <c r="G199" i="3"/>
  <c r="G299" i="3"/>
  <c r="G120" i="3"/>
  <c r="G160" i="3"/>
  <c r="G180" i="3"/>
  <c r="G280" i="3"/>
  <c r="G300" i="3"/>
  <c r="G141" i="3"/>
  <c r="G181" i="3"/>
  <c r="G201" i="3"/>
  <c r="G281" i="3"/>
  <c r="G202" i="3"/>
  <c r="G262" i="3"/>
  <c r="G302" i="3"/>
  <c r="G203" i="3"/>
  <c r="G243" i="3"/>
  <c r="G303" i="3"/>
  <c r="G124" i="3"/>
  <c r="G164" i="3"/>
  <c r="G264" i="3"/>
  <c r="G185" i="3"/>
  <c r="G205" i="3"/>
  <c r="G265" i="3"/>
  <c r="G305" i="3"/>
  <c r="G186" i="3"/>
  <c r="G246" i="3"/>
  <c r="G266" i="3"/>
  <c r="G306" i="3"/>
  <c r="G109" i="3"/>
  <c r="G129" i="3"/>
  <c r="G149" i="3"/>
  <c r="G169" i="3"/>
  <c r="G189" i="3"/>
  <c r="G209" i="3"/>
  <c r="G229" i="3"/>
  <c r="G249" i="3"/>
  <c r="G269" i="3"/>
  <c r="G289" i="3"/>
  <c r="G309" i="3"/>
  <c r="G130" i="3"/>
  <c r="G190" i="3"/>
  <c r="G250" i="3"/>
  <c r="G290" i="3"/>
  <c r="G111" i="3"/>
  <c r="G151" i="3"/>
  <c r="G251" i="3"/>
  <c r="G311" i="3"/>
  <c r="G112" i="3"/>
  <c r="G152" i="3"/>
  <c r="G192" i="3"/>
  <c r="G212" i="3"/>
  <c r="G153" i="3"/>
  <c r="G173" i="3"/>
  <c r="G233" i="3"/>
  <c r="G273" i="3"/>
  <c r="G313" i="3"/>
  <c r="G134" i="3"/>
  <c r="G254" i="3"/>
  <c r="G115" i="3"/>
  <c r="G195" i="3"/>
  <c r="G275" i="3"/>
  <c r="G116" i="3"/>
  <c r="G136" i="3"/>
  <c r="G196" i="3"/>
  <c r="G256" i="3"/>
  <c r="G276" i="3"/>
  <c r="G177" i="3"/>
  <c r="G297" i="3"/>
  <c r="G118" i="3"/>
  <c r="G138" i="3"/>
  <c r="G198" i="3"/>
  <c r="G278" i="3"/>
  <c r="G219" i="3"/>
  <c r="G239" i="3"/>
  <c r="G279" i="3"/>
  <c r="G200" i="3"/>
  <c r="G240" i="3"/>
  <c r="G221" i="3"/>
  <c r="G261" i="3"/>
  <c r="G142" i="3"/>
  <c r="G222" i="3"/>
  <c r="G242" i="3"/>
  <c r="G143" i="3"/>
  <c r="G163" i="3"/>
  <c r="G263" i="3"/>
  <c r="G144" i="3"/>
  <c r="G204" i="3"/>
  <c r="G284" i="3"/>
  <c r="G125" i="3"/>
  <c r="G165" i="3"/>
  <c r="G245" i="3"/>
  <c r="G285" i="3"/>
  <c r="G126" i="3"/>
  <c r="G166" i="3"/>
  <c r="G206" i="3"/>
  <c r="G286" i="3"/>
  <c r="G20" i="3"/>
  <c r="G21" i="3"/>
  <c r="G31" i="3"/>
  <c r="G51" i="3"/>
  <c r="G71" i="3"/>
  <c r="G91" i="3"/>
  <c r="G7" i="3"/>
  <c r="G52" i="3"/>
  <c r="G72" i="3"/>
  <c r="G92" i="3"/>
  <c r="G8" i="3"/>
  <c r="G33" i="3"/>
  <c r="G53" i="3"/>
  <c r="G73" i="3"/>
  <c r="G93" i="3"/>
  <c r="G9" i="3"/>
  <c r="G34" i="3"/>
  <c r="G74" i="3"/>
  <c r="G94" i="3"/>
  <c r="G10" i="3"/>
  <c r="G35" i="3"/>
  <c r="G55" i="3"/>
  <c r="G75" i="3"/>
  <c r="G95" i="3"/>
  <c r="G11" i="3"/>
  <c r="G36" i="3"/>
  <c r="G96" i="3"/>
  <c r="G12" i="3"/>
  <c r="G37" i="3"/>
  <c r="G57" i="3"/>
  <c r="G97" i="3"/>
  <c r="G58" i="3"/>
  <c r="G98" i="3"/>
  <c r="G39" i="3"/>
  <c r="G79" i="3"/>
  <c r="G15" i="3"/>
  <c r="G40" i="3"/>
  <c r="G100" i="3"/>
  <c r="G61" i="3"/>
  <c r="G101" i="3"/>
  <c r="G17" i="3"/>
  <c r="G22" i="3"/>
  <c r="G82" i="3"/>
  <c r="G43" i="3"/>
  <c r="G63" i="3"/>
  <c r="G103" i="3"/>
  <c r="G24" i="3"/>
  <c r="G104" i="3"/>
  <c r="G25" i="3"/>
  <c r="G45" i="3"/>
  <c r="G65" i="3"/>
  <c r="G85" i="3"/>
  <c r="G105" i="3"/>
  <c r="G26" i="3"/>
  <c r="G66" i="3"/>
  <c r="G86" i="3"/>
  <c r="G106" i="3"/>
  <c r="G27" i="3"/>
  <c r="G87" i="3"/>
  <c r="G28" i="3"/>
  <c r="G88" i="3"/>
  <c r="G49" i="3"/>
  <c r="G69" i="3"/>
  <c r="G89" i="3"/>
  <c r="G30" i="3"/>
  <c r="G70" i="3"/>
  <c r="G90" i="3"/>
  <c r="G32" i="3"/>
  <c r="G54" i="3"/>
  <c r="G56" i="3"/>
  <c r="G76" i="3"/>
  <c r="G77" i="3"/>
  <c r="G13" i="3"/>
  <c r="G38" i="3"/>
  <c r="G78" i="3"/>
  <c r="G14" i="3"/>
  <c r="G59" i="3"/>
  <c r="G99" i="3"/>
  <c r="G60" i="3"/>
  <c r="G80" i="3"/>
  <c r="G16" i="3"/>
  <c r="G41" i="3"/>
  <c r="G81" i="3"/>
  <c r="G42" i="3"/>
  <c r="G62" i="3"/>
  <c r="G102" i="3"/>
  <c r="G18" i="3"/>
  <c r="G23" i="3"/>
  <c r="G83" i="3"/>
  <c r="G19" i="3"/>
  <c r="G44" i="3"/>
  <c r="G64" i="3"/>
  <c r="G84" i="3"/>
  <c r="G46" i="3"/>
  <c r="G47" i="3"/>
  <c r="G67" i="3"/>
  <c r="G3" i="3"/>
  <c r="G48" i="3"/>
  <c r="G68" i="3"/>
  <c r="G4" i="3"/>
  <c r="G29" i="3"/>
  <c r="G5" i="3"/>
  <c r="G50" i="3"/>
  <c r="G6" i="3"/>
  <c r="G2" i="3"/>
  <c r="D13" i="3" l="1"/>
  <c r="D21" i="3"/>
  <c r="D25" i="3"/>
  <c r="D78" i="3"/>
  <c r="D202" i="1"/>
  <c r="D199" i="1"/>
  <c r="D156" i="1"/>
  <c r="D132" i="1"/>
  <c r="D107" i="1"/>
  <c r="D84" i="1"/>
  <c r="D63" i="1"/>
  <c r="D43" i="1"/>
  <c r="D23" i="1"/>
  <c r="D3" i="1"/>
  <c r="D195" i="1"/>
  <c r="D155" i="1"/>
  <c r="D131" i="1"/>
  <c r="D106" i="1"/>
  <c r="D83" i="1"/>
  <c r="D62" i="1"/>
  <c r="D42" i="1"/>
  <c r="D22" i="1"/>
  <c r="D194" i="1"/>
  <c r="D130" i="1"/>
  <c r="D105" i="1"/>
  <c r="D82" i="1"/>
  <c r="D41" i="1"/>
  <c r="D21" i="1"/>
  <c r="D152" i="1"/>
  <c r="D127" i="1"/>
  <c r="D60" i="1"/>
  <c r="D259" i="1"/>
  <c r="D59" i="1"/>
  <c r="D19" i="1"/>
  <c r="D154" i="1"/>
  <c r="D2" i="1"/>
  <c r="D270" i="1"/>
  <c r="D104" i="1"/>
  <c r="D20" i="1"/>
  <c r="D186" i="1"/>
  <c r="D126" i="1"/>
  <c r="D80" i="1"/>
  <c r="D39" i="1"/>
  <c r="D279" i="1"/>
  <c r="D61" i="1"/>
  <c r="D190" i="1"/>
  <c r="D81" i="1"/>
  <c r="D40" i="1"/>
  <c r="D151" i="1"/>
  <c r="D103" i="1"/>
  <c r="D226" i="1"/>
  <c r="D174" i="1"/>
  <c r="D143" i="1"/>
  <c r="D120" i="1"/>
  <c r="D96" i="1"/>
  <c r="D73" i="1"/>
  <c r="D53" i="1"/>
  <c r="D33" i="1"/>
  <c r="D13" i="1"/>
  <c r="D12" i="1"/>
  <c r="D225" i="1"/>
  <c r="D170" i="1"/>
  <c r="D142" i="1"/>
  <c r="D119" i="1"/>
  <c r="D95" i="1"/>
  <c r="D72" i="1"/>
  <c r="D52" i="1"/>
  <c r="D32" i="1"/>
  <c r="D221" i="1"/>
  <c r="D166" i="1"/>
  <c r="D141" i="1"/>
  <c r="D117" i="1"/>
  <c r="D94" i="1"/>
  <c r="D71" i="1"/>
  <c r="D51" i="1"/>
  <c r="D31" i="1"/>
  <c r="D11" i="1"/>
  <c r="D165" i="1"/>
  <c r="D116" i="1"/>
  <c r="D93" i="1"/>
  <c r="D70" i="1"/>
  <c r="D50" i="1"/>
  <c r="D10" i="1"/>
  <c r="D215" i="1"/>
  <c r="D92" i="1"/>
  <c r="D49" i="1"/>
  <c r="D9" i="1"/>
  <c r="D114" i="1"/>
  <c r="D91" i="1"/>
  <c r="D48" i="1"/>
  <c r="D210" i="1"/>
  <c r="D90" i="1"/>
  <c r="D67" i="1"/>
  <c r="D47" i="1"/>
  <c r="D206" i="1"/>
  <c r="D46" i="1"/>
  <c r="D6" i="1"/>
  <c r="D157" i="1"/>
  <c r="D219" i="1"/>
  <c r="D140" i="1"/>
  <c r="D30" i="1"/>
  <c r="D164" i="1"/>
  <c r="D115" i="1"/>
  <c r="D69" i="1"/>
  <c r="D29" i="1"/>
  <c r="D163" i="1"/>
  <c r="D136" i="1"/>
  <c r="D66" i="1"/>
  <c r="D26" i="1"/>
  <c r="D139" i="1"/>
  <c r="D137" i="1"/>
  <c r="D68" i="1"/>
  <c r="D28" i="1"/>
  <c r="D161" i="1"/>
  <c r="D135" i="1"/>
  <c r="D87" i="1"/>
  <c r="D214" i="1"/>
  <c r="D8" i="1"/>
  <c r="D113" i="1"/>
  <c r="D27" i="1"/>
  <c r="D7" i="1"/>
  <c r="D160" i="1"/>
  <c r="D112" i="1"/>
  <c r="D205" i="1"/>
  <c r="D159" i="1"/>
  <c r="D134" i="1"/>
  <c r="D111" i="1"/>
  <c r="D86" i="1"/>
  <c r="D65" i="1"/>
  <c r="D45" i="1"/>
  <c r="D25" i="1"/>
  <c r="D5" i="1"/>
  <c r="D250" i="1"/>
  <c r="D122" i="1"/>
  <c r="D44" i="1"/>
  <c r="D110" i="1"/>
  <c r="D37" i="1"/>
  <c r="D239" i="1"/>
  <c r="D230" i="1"/>
  <c r="D34" i="1"/>
  <c r="D99" i="1"/>
  <c r="D183" i="1"/>
  <c r="D17" i="1"/>
  <c r="D15" i="1"/>
  <c r="D146" i="1"/>
  <c r="D144" i="1"/>
  <c r="D125" i="1"/>
  <c r="D246" i="1"/>
  <c r="D121" i="1"/>
  <c r="D38" i="1"/>
  <c r="D102" i="1"/>
  <c r="D35" i="1"/>
  <c r="D100" i="1"/>
  <c r="D24" i="1"/>
  <c r="D18" i="1"/>
  <c r="D85" i="1"/>
  <c r="D179" i="1"/>
  <c r="D16" i="1"/>
  <c r="D175" i="1"/>
  <c r="D76" i="1"/>
  <c r="D75" i="1"/>
  <c r="D74" i="1"/>
  <c r="D58" i="1"/>
  <c r="D56" i="1"/>
  <c r="D245" i="1"/>
  <c r="D36" i="1"/>
  <c r="D101" i="1"/>
  <c r="D201" i="1"/>
  <c r="D185" i="1"/>
  <c r="D97" i="1"/>
  <c r="D181" i="1"/>
  <c r="D79" i="1"/>
  <c r="D77" i="1"/>
  <c r="D14" i="1"/>
  <c r="D147" i="1"/>
  <c r="D145" i="1"/>
  <c r="D57" i="1"/>
  <c r="D124" i="1"/>
  <c r="D150" i="1"/>
  <c r="D64" i="1"/>
  <c r="D4" i="1"/>
  <c r="D54" i="1"/>
  <c r="D133" i="1"/>
  <c r="D123" i="1"/>
  <c r="D55" i="1"/>
  <c r="D203" i="1"/>
  <c r="D148" i="1"/>
  <c r="D231" i="1"/>
  <c r="D255" i="1"/>
  <c r="D198" i="1"/>
  <c r="D223" i="1"/>
  <c r="D168" i="1"/>
  <c r="D251" i="1"/>
  <c r="D275" i="1"/>
  <c r="D218" i="1"/>
  <c r="D243" i="1"/>
  <c r="D188" i="1"/>
  <c r="D271" i="1"/>
  <c r="D176" i="1"/>
  <c r="D238" i="1"/>
  <c r="D263" i="1"/>
  <c r="D208" i="1"/>
  <c r="D172" i="1"/>
  <c r="D196" i="1"/>
  <c r="D258" i="1"/>
  <c r="D184" i="1"/>
  <c r="D192" i="1"/>
  <c r="D216" i="1"/>
  <c r="D248" i="1"/>
  <c r="D236" i="1"/>
  <c r="D180" i="1"/>
  <c r="D268" i="1"/>
  <c r="D256" i="1"/>
  <c r="D244" i="1"/>
  <c r="D252" i="1"/>
  <c r="D220" i="1"/>
  <c r="D272" i="1"/>
  <c r="D240" i="1"/>
  <c r="D129" i="1"/>
  <c r="D153" i="1"/>
  <c r="D197" i="1"/>
  <c r="D260" i="1"/>
  <c r="D173" i="1"/>
  <c r="D280" i="1"/>
  <c r="D169" i="1"/>
  <c r="D193" i="1"/>
  <c r="D213" i="1"/>
  <c r="D209" i="1"/>
  <c r="D253" i="1"/>
  <c r="D273" i="1"/>
  <c r="D269" i="1"/>
  <c r="D222" i="1"/>
  <c r="D171" i="1"/>
  <c r="D138" i="1"/>
  <c r="D128" i="1"/>
  <c r="D228" i="1"/>
  <c r="D278" i="1"/>
  <c r="D204" i="1"/>
  <c r="D212" i="1"/>
  <c r="D224" i="1"/>
  <c r="D232" i="1"/>
  <c r="D200" i="1"/>
  <c r="D89" i="1"/>
  <c r="D276" i="1"/>
  <c r="D264" i="1"/>
  <c r="D109" i="1"/>
  <c r="D177" i="1"/>
  <c r="D265" i="1"/>
  <c r="D149" i="1"/>
  <c r="D217" i="1"/>
  <c r="D189" i="1"/>
  <c r="D281" i="1"/>
  <c r="D78" i="1"/>
  <c r="D247" i="1"/>
  <c r="D118" i="1"/>
  <c r="D108" i="1"/>
  <c r="D191" i="1"/>
  <c r="D262" i="1"/>
  <c r="D235" i="1"/>
  <c r="D266" i="1"/>
  <c r="D241" i="1"/>
  <c r="D257" i="1"/>
  <c r="D229" i="1"/>
  <c r="D98" i="1"/>
  <c r="D242" i="1"/>
  <c r="D158" i="1"/>
  <c r="D167" i="1"/>
  <c r="D237" i="1"/>
  <c r="D233" i="1"/>
  <c r="D267" i="1"/>
  <c r="D254" i="1"/>
  <c r="D187" i="1"/>
  <c r="D261" i="1"/>
  <c r="D162" i="1"/>
  <c r="D274" i="1"/>
  <c r="D211" i="1"/>
  <c r="D207" i="1"/>
  <c r="D277" i="1"/>
  <c r="D249" i="1"/>
  <c r="D182" i="1"/>
  <c r="D234" i="1"/>
  <c r="D88" i="1"/>
  <c r="D227" i="1"/>
  <c r="D178" i="1"/>
  <c r="D282" i="1"/>
  <c r="D57" i="3"/>
  <c r="D4" i="3"/>
  <c r="D50" i="3"/>
  <c r="D82" i="3"/>
  <c r="D48" i="3"/>
  <c r="D79" i="3"/>
  <c r="D60" i="3"/>
  <c r="D89" i="3"/>
  <c r="D80" i="3"/>
  <c r="D31" i="3"/>
  <c r="D99" i="3"/>
  <c r="D61" i="3"/>
  <c r="D16" i="3"/>
  <c r="D53" i="3"/>
  <c r="D6" i="3"/>
  <c r="D63" i="3"/>
  <c r="D91" i="3"/>
  <c r="D92" i="3"/>
  <c r="D24" i="3"/>
  <c r="D65" i="3"/>
  <c r="D75" i="3"/>
  <c r="D98" i="3"/>
  <c r="D15" i="3"/>
  <c r="D3" i="3"/>
  <c r="D95" i="3"/>
  <c r="D69" i="3"/>
  <c r="D8" i="3"/>
  <c r="D47" i="3"/>
  <c r="D18" i="3"/>
  <c r="D43" i="3"/>
  <c r="D34" i="3"/>
  <c r="D19" i="3"/>
  <c r="D88" i="3"/>
  <c r="D45" i="3"/>
  <c r="D11" i="3"/>
  <c r="D7" i="3"/>
  <c r="D51" i="3"/>
  <c r="D100" i="3"/>
  <c r="D104" i="3"/>
  <c r="D20" i="3"/>
  <c r="D71" i="3"/>
  <c r="D30" i="3"/>
  <c r="D81" i="3"/>
  <c r="D70" i="3"/>
  <c r="D52" i="3"/>
  <c r="D38" i="3"/>
  <c r="D90" i="3"/>
  <c r="D22" i="3"/>
  <c r="D64" i="3"/>
  <c r="D39" i="3"/>
  <c r="D87" i="3"/>
  <c r="D58" i="3"/>
  <c r="D54" i="3"/>
  <c r="D102" i="3"/>
  <c r="D29" i="3"/>
  <c r="D55" i="3"/>
  <c r="D37" i="3"/>
  <c r="D32" i="3"/>
  <c r="D72" i="3"/>
  <c r="D67" i="3"/>
  <c r="D77" i="3"/>
  <c r="D74" i="3"/>
  <c r="D35" i="3"/>
  <c r="D41" i="3"/>
  <c r="D33" i="3"/>
  <c r="D83" i="3"/>
  <c r="D101" i="3"/>
  <c r="D36" i="3"/>
  <c r="D9" i="3"/>
  <c r="D73" i="3"/>
  <c r="D42" i="3"/>
  <c r="D68" i="3"/>
  <c r="D96" i="3"/>
  <c r="D85" i="3"/>
  <c r="D10" i="3"/>
  <c r="D46" i="3"/>
  <c r="D49" i="3"/>
  <c r="D40" i="3"/>
  <c r="D28" i="3"/>
  <c r="D17" i="3"/>
  <c r="D84" i="3"/>
  <c r="D56" i="3"/>
  <c r="D62" i="3"/>
  <c r="D26" i="3"/>
  <c r="D5" i="3"/>
  <c r="D23" i="3"/>
  <c r="D44" i="3"/>
  <c r="D97" i="3"/>
  <c r="D59" i="3"/>
  <c r="D66" i="3"/>
  <c r="D103" i="3"/>
  <c r="D14" i="3"/>
  <c r="D12" i="3"/>
  <c r="D86" i="3"/>
  <c r="D76" i="3"/>
  <c r="D105" i="3"/>
  <c r="D94" i="3"/>
  <c r="D93" i="3"/>
  <c r="D27" i="3"/>
  <c r="D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<sst xmlns="http://schemas.openxmlformats.org/spreadsheetml/2006/main" count="24" uniqueCount="4">
  <si>
    <t>date</t>
  </si>
  <si>
    <t>survey</t>
  </si>
  <si>
    <t>actual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</si>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</sst>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BDS|10501052184713430463</stp>
        <tr r="F2" s="4"/>
      </tp>
      <tp t="e">
        <v>#N/A</v>
        <stp/>
        <stp>BDH|16485786160043579986</stp>
        <tr r="A2" s="3"/>
      </tp>
      <tp t="s">
        <v>#N/A N/A</v>
        <stp/>
        <stp>BDS|12672452215962532497</stp>
        <tr r="F2" s="5"/>
      </tp>
      <tp t="s">
        <v>#N/A N/A</v>
        <stp/>
        <stp>BDS|15074505713030136778</stp>
        <tr r="F2" s="1"/>
      </tp>
      <tp t="e">
        <v>#N/A</v>
        <stp/>
        <stp>BDH|14956635781939684555</stp>
        <tr r="A2" s="4"/>
      </tp>
      <tp t="e">
        <v>#N/A</v>
        <stp/>
        <stp>BDH|10848770516059250953</stp>
        <tr r="A2" s="6"/>
      </tp>
      <tp t="s">
        <v>#N/A N/A</v>
        <stp/>
        <stp>BDS|12160959155750200912</stp>
        <tr r="F2" s="2"/>
      </tp>
      <tp t="e">
        <v>#N/A</v>
        <stp/>
        <stp>BDH|13814433637480995363</stp>
        <tr r="A2" s="5"/>
      </tp>
    </main>
    <main first="bofaddin.rtdserver">
      <tp t="e">
        <v>#N/A</v>
        <stp/>
        <stp>BDH|8073583527294934223</stp>
        <tr r="A2" s="1"/>
      </tp>
      <tp t="s">
        <v>#N/A N/A</v>
        <stp/>
        <stp>BDS|9389753321768094322</stp>
        <tr r="F2" s="3"/>
      </tp>
      <tp t="e">
        <v>#N/A</v>
        <stp/>
        <stp>BDH|7616699729192104063</stp>
        <tr r="A2" s="2"/>
      </tp>
      <tp t="s">
        <v>#N/A N/A</v>
        <stp/>
        <stp>BDS|1956474654220852355</stp>
        <tr r="F2" s="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8339-A505-4EA1-92E3-C7E4523CB58A}">
  <dimension ref="A1:G282"/>
  <sheetViews>
    <sheetView workbookViewId="0">
      <selection activeCell="F3" sqref="F3"/>
    </sheetView>
  </sheetViews>
  <sheetFormatPr defaultRowHeight="15"/>
  <cols>
    <col min="1" max="1" width="11" customWidth="1"/>
    <col min="4" max="4" width="20.140625" customWidth="1"/>
    <col min="6" max="6" width="18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</row>
    <row r="2" spans="1:7">
      <c r="A2" s="1" cm="1">
        <f t="array" ref="A2:C282">_xll.BDH("CPI YOY Index", "BN_SURVEY_MEDIAN, ACTUAL_RELEASE", "2000-01-01", "2026-03-19", "RELEASE_DATE_OVERRIDE", "1")</f>
        <v>37547</v>
      </c>
      <c r="B2" t="str">
        <v>#N/A N/A</v>
      </c>
      <c r="C2">
        <v>1.5</v>
      </c>
      <c r="D2" t="str">
        <f>_xlfn.XLOOKUP(A2,$G:$G,$F:$F,"")</f>
        <v>2002/10/18 14:30:00</v>
      </c>
      <c r="F2" t="str" cm="1">
        <f t="array" ref="F2:F282">_xll.BDS("CPI YOY Index","ECO_FUTURE_RELEASE_DATE_LIST","START_DT=2000-01-01","END_DT=2026-03-19", "TIME_ZONE_OVERRIDE=24")</f>
        <v>2002/10/18 14:30:00</v>
      </c>
      <c r="G2">
        <f>INT(F2)</f>
        <v>37547</v>
      </c>
    </row>
    <row r="3" spans="1:7">
      <c r="A3" s="1">
        <v>37579</v>
      </c>
      <c r="B3" t="str">
        <v>#N/A N/A</v>
      </c>
      <c r="C3">
        <v>2</v>
      </c>
      <c r="D3" t="str">
        <f t="shared" ref="D3:D66" si="0">_xlfn.XLOOKUP(A3,$G:$G,$F:$F,"")</f>
        <v>2002/11/19 14:30:00</v>
      </c>
      <c r="F3" t="str">
        <v>2002/11/19 14:30:00</v>
      </c>
      <c r="G3">
        <f t="shared" ref="G3:G66" si="1">INT(F3)</f>
        <v>37579</v>
      </c>
    </row>
    <row r="4" spans="1:7">
      <c r="A4" s="1">
        <v>37607</v>
      </c>
      <c r="B4" t="str">
        <v>#N/A N/A</v>
      </c>
      <c r="C4">
        <v>2.2000000000000002</v>
      </c>
      <c r="D4" t="str">
        <f t="shared" si="0"/>
        <v>2002/12/17 14:30:00</v>
      </c>
      <c r="F4" t="str">
        <v>2002/12/17 14:30:00</v>
      </c>
      <c r="G4">
        <f t="shared" si="1"/>
        <v>37607</v>
      </c>
    </row>
    <row r="5" spans="1:7">
      <c r="A5" s="1">
        <v>37637</v>
      </c>
      <c r="B5" t="str">
        <v>#N/A N/A</v>
      </c>
      <c r="C5">
        <v>2.4</v>
      </c>
      <c r="D5" t="str">
        <f t="shared" si="0"/>
        <v>2003/01/16 14:30:00</v>
      </c>
      <c r="F5" t="str">
        <v>2003/01/16 14:30:00</v>
      </c>
      <c r="G5">
        <f t="shared" si="1"/>
        <v>37637</v>
      </c>
    </row>
    <row r="6" spans="1:7">
      <c r="A6" s="1">
        <v>37673</v>
      </c>
      <c r="B6">
        <v>2.6</v>
      </c>
      <c r="C6">
        <v>2.6</v>
      </c>
      <c r="D6" t="str">
        <f t="shared" si="0"/>
        <v>2003/02/21 14:30:00</v>
      </c>
      <c r="F6" t="str">
        <v>2003/02/21 14:30:00</v>
      </c>
      <c r="G6">
        <f t="shared" si="1"/>
        <v>37673</v>
      </c>
    </row>
    <row r="7" spans="1:7">
      <c r="A7" s="1">
        <v>37701</v>
      </c>
      <c r="B7" t="str">
        <v>#N/A N/A</v>
      </c>
      <c r="C7">
        <v>3</v>
      </c>
      <c r="D7" t="str">
        <f t="shared" si="0"/>
        <v>2003/03/21 14:30:00</v>
      </c>
      <c r="F7" t="str">
        <v>2003/03/21 14:30:00</v>
      </c>
      <c r="G7">
        <f t="shared" si="1"/>
        <v>37701</v>
      </c>
    </row>
    <row r="8" spans="1:7">
      <c r="A8" s="1">
        <v>37727</v>
      </c>
      <c r="B8" t="str">
        <v>#N/A N/A</v>
      </c>
      <c r="C8">
        <v>3</v>
      </c>
      <c r="D8" t="str">
        <f t="shared" si="0"/>
        <v>2003/04/16 14:30:00</v>
      </c>
      <c r="F8" t="str">
        <v>2003/04/16 14:30:00</v>
      </c>
      <c r="G8">
        <f t="shared" si="1"/>
        <v>37727</v>
      </c>
    </row>
    <row r="9" spans="1:7">
      <c r="A9" s="1">
        <v>37757</v>
      </c>
      <c r="B9" t="str">
        <v>#N/A N/A</v>
      </c>
      <c r="C9">
        <v>2.2000000000000002</v>
      </c>
      <c r="D9" t="str">
        <f t="shared" si="0"/>
        <v>2003/05/16 14:30:00</v>
      </c>
      <c r="F9" t="str">
        <v>2003/05/16 14:30:00</v>
      </c>
      <c r="G9">
        <f t="shared" si="1"/>
        <v>37757</v>
      </c>
    </row>
    <row r="10" spans="1:7">
      <c r="A10" s="1">
        <v>37789</v>
      </c>
      <c r="B10">
        <v>2.1</v>
      </c>
      <c r="C10">
        <v>2.1</v>
      </c>
      <c r="D10" t="str">
        <f t="shared" si="0"/>
        <v>2003/06/17 14:30:00</v>
      </c>
      <c r="F10" t="str">
        <v>2003/06/17 14:30:00</v>
      </c>
      <c r="G10">
        <f t="shared" si="1"/>
        <v>37789</v>
      </c>
    </row>
    <row r="11" spans="1:7">
      <c r="A11" s="1">
        <v>37818</v>
      </c>
      <c r="B11" t="str">
        <v>#N/A N/A</v>
      </c>
      <c r="C11">
        <v>2.1</v>
      </c>
      <c r="D11" t="str">
        <f t="shared" si="0"/>
        <v>2003/07/16 14:30:00</v>
      </c>
      <c r="F11" t="str">
        <v>2003/07/16 14:30:00</v>
      </c>
      <c r="G11">
        <f t="shared" si="1"/>
        <v>37818</v>
      </c>
    </row>
    <row r="12" spans="1:7">
      <c r="A12" s="1">
        <v>37848</v>
      </c>
      <c r="B12" t="str">
        <v>#N/A N/A</v>
      </c>
      <c r="C12">
        <v>2.1</v>
      </c>
      <c r="D12" t="str">
        <f t="shared" si="0"/>
        <v>2003/08/15 14:30:00</v>
      </c>
      <c r="F12" t="str">
        <v>2003/08/15 14:30:00</v>
      </c>
      <c r="G12">
        <f t="shared" si="1"/>
        <v>37848</v>
      </c>
    </row>
    <row r="13" spans="1:7">
      <c r="A13" s="1">
        <v>37880</v>
      </c>
      <c r="B13" t="str">
        <v>#N/A N/A</v>
      </c>
      <c r="C13">
        <v>2.2000000000000002</v>
      </c>
      <c r="D13" t="str">
        <f t="shared" si="0"/>
        <v>2003/09/16 14:30:00</v>
      </c>
      <c r="F13" t="str">
        <v>2003/09/16 14:30:00</v>
      </c>
      <c r="G13">
        <f t="shared" si="1"/>
        <v>37880</v>
      </c>
    </row>
    <row r="14" spans="1:7">
      <c r="A14" s="1">
        <v>37910</v>
      </c>
      <c r="B14" t="str">
        <v>#N/A N/A</v>
      </c>
      <c r="C14">
        <v>2.2999999999999998</v>
      </c>
      <c r="D14" t="str">
        <f t="shared" si="0"/>
        <v>2003/10/16 14:30:00</v>
      </c>
      <c r="F14" t="str">
        <v>2003/10/16 14:30:00</v>
      </c>
      <c r="G14">
        <f t="shared" si="1"/>
        <v>37910</v>
      </c>
    </row>
    <row r="15" spans="1:7">
      <c r="A15" s="1">
        <v>37943</v>
      </c>
      <c r="B15" t="str">
        <v>#N/A N/A</v>
      </c>
      <c r="C15">
        <v>2</v>
      </c>
      <c r="D15" t="str">
        <f t="shared" si="0"/>
        <v>2003/11/18 14:30:00</v>
      </c>
      <c r="F15" t="str">
        <v>2003/11/18 14:30:00</v>
      </c>
      <c r="G15">
        <f t="shared" si="1"/>
        <v>37943</v>
      </c>
    </row>
    <row r="16" spans="1:7">
      <c r="A16" s="1">
        <v>37971</v>
      </c>
      <c r="B16">
        <v>2.1</v>
      </c>
      <c r="C16">
        <v>1.8</v>
      </c>
      <c r="D16" t="str">
        <f t="shared" si="0"/>
        <v>2003/12/16 14:30:00</v>
      </c>
      <c r="F16" t="str">
        <v>2003/12/16 14:30:00</v>
      </c>
      <c r="G16">
        <f t="shared" si="1"/>
        <v>37971</v>
      </c>
    </row>
    <row r="17" spans="1:7">
      <c r="A17" s="1">
        <v>38001</v>
      </c>
      <c r="B17">
        <v>1.8</v>
      </c>
      <c r="C17">
        <v>1.9</v>
      </c>
      <c r="D17" t="str">
        <f t="shared" si="0"/>
        <v>2004/01/15 14:30:00</v>
      </c>
      <c r="F17" t="str">
        <v>2004/01/15 14:30:00</v>
      </c>
      <c r="G17">
        <f t="shared" si="1"/>
        <v>38001</v>
      </c>
    </row>
    <row r="18" spans="1:7">
      <c r="A18" s="1">
        <v>38037</v>
      </c>
      <c r="B18">
        <v>1.6</v>
      </c>
      <c r="C18">
        <v>1.9</v>
      </c>
      <c r="D18" t="str">
        <f t="shared" si="0"/>
        <v>2004/02/20 14:30:00</v>
      </c>
      <c r="F18" t="str">
        <v>2004/02/20 14:30:00</v>
      </c>
      <c r="G18">
        <f t="shared" si="1"/>
        <v>38037</v>
      </c>
    </row>
    <row r="19" spans="1:7">
      <c r="A19" s="1">
        <v>38063</v>
      </c>
      <c r="B19">
        <v>1.6</v>
      </c>
      <c r="C19">
        <v>1.7</v>
      </c>
      <c r="D19" t="str">
        <f t="shared" si="0"/>
        <v>2004/03/17 14:30:00</v>
      </c>
      <c r="F19" t="str">
        <v>2004/03/17 14:30:00</v>
      </c>
      <c r="G19">
        <f t="shared" si="1"/>
        <v>38063</v>
      </c>
    </row>
    <row r="20" spans="1:7">
      <c r="A20" s="1">
        <v>38091</v>
      </c>
      <c r="B20">
        <v>1.5</v>
      </c>
      <c r="C20">
        <v>1.7</v>
      </c>
      <c r="D20" t="str">
        <f t="shared" si="0"/>
        <v>2004/04/14 14:30:00</v>
      </c>
      <c r="F20" t="str">
        <v>2004/04/14 14:30:00</v>
      </c>
      <c r="G20">
        <f t="shared" si="1"/>
        <v>38091</v>
      </c>
    </row>
    <row r="21" spans="1:7">
      <c r="A21" s="1">
        <v>38121</v>
      </c>
      <c r="B21">
        <v>2.4</v>
      </c>
      <c r="C21">
        <v>2.2999999999999998</v>
      </c>
      <c r="D21" t="str">
        <f t="shared" si="0"/>
        <v>2004/05/14 14:30:00</v>
      </c>
      <c r="F21" t="str">
        <v>2004/05/14 14:30:00</v>
      </c>
      <c r="G21">
        <f t="shared" si="1"/>
        <v>38121</v>
      </c>
    </row>
    <row r="22" spans="1:7">
      <c r="A22" s="1">
        <v>38153</v>
      </c>
      <c r="B22">
        <v>2.9</v>
      </c>
      <c r="C22">
        <v>3.1</v>
      </c>
      <c r="D22" t="str">
        <f t="shared" si="0"/>
        <v>2004/06/15 14:30:00</v>
      </c>
      <c r="F22" t="str">
        <v>2004/06/15 14:30:00</v>
      </c>
      <c r="G22">
        <f t="shared" si="1"/>
        <v>38153</v>
      </c>
    </row>
    <row r="23" spans="1:7">
      <c r="A23" s="1">
        <v>38184</v>
      </c>
      <c r="B23">
        <v>3.1</v>
      </c>
      <c r="C23">
        <v>3.3</v>
      </c>
      <c r="D23" t="str">
        <f t="shared" si="0"/>
        <v>2004/07/16 14:30:00</v>
      </c>
      <c r="F23" t="str">
        <v>2004/07/16 14:30:00</v>
      </c>
      <c r="G23">
        <f t="shared" si="1"/>
        <v>38184</v>
      </c>
    </row>
    <row r="24" spans="1:7">
      <c r="A24" s="1">
        <v>38216</v>
      </c>
      <c r="B24">
        <v>3.2</v>
      </c>
      <c r="C24">
        <v>3</v>
      </c>
      <c r="D24" t="str">
        <f t="shared" si="0"/>
        <v>2004/08/17 14:30:00</v>
      </c>
      <c r="F24" t="str">
        <v>2004/08/17 14:30:00</v>
      </c>
      <c r="G24">
        <f t="shared" si="1"/>
        <v>38216</v>
      </c>
    </row>
    <row r="25" spans="1:7">
      <c r="A25" s="1">
        <v>38246</v>
      </c>
      <c r="B25">
        <v>2.8</v>
      </c>
      <c r="C25">
        <v>2.7</v>
      </c>
      <c r="D25" t="str">
        <f t="shared" si="0"/>
        <v>2004/09/16 14:30:00</v>
      </c>
      <c r="F25" t="str">
        <v>2004/09/16 14:30:00</v>
      </c>
      <c r="G25">
        <f t="shared" si="1"/>
        <v>38246</v>
      </c>
    </row>
    <row r="26" spans="1:7">
      <c r="A26" s="1">
        <v>38279</v>
      </c>
      <c r="B26">
        <v>2.5</v>
      </c>
      <c r="C26">
        <v>2.5</v>
      </c>
      <c r="D26" t="str">
        <f t="shared" si="0"/>
        <v>2004/10/19 14:30:00</v>
      </c>
      <c r="F26" t="str">
        <v>2004/10/19 14:30:00</v>
      </c>
      <c r="G26">
        <f t="shared" si="1"/>
        <v>38279</v>
      </c>
    </row>
    <row r="27" spans="1:7">
      <c r="A27" s="1">
        <v>38308</v>
      </c>
      <c r="B27">
        <v>3</v>
      </c>
      <c r="C27">
        <v>3.2</v>
      </c>
      <c r="D27" t="str">
        <f t="shared" si="0"/>
        <v>2004/11/17 14:30:00</v>
      </c>
      <c r="F27" t="str">
        <v>2004/11/17 14:30:00</v>
      </c>
      <c r="G27">
        <f t="shared" si="1"/>
        <v>38308</v>
      </c>
    </row>
    <row r="28" spans="1:7">
      <c r="A28" s="1">
        <v>38338</v>
      </c>
      <c r="B28">
        <v>3.5</v>
      </c>
      <c r="C28">
        <v>3.5</v>
      </c>
      <c r="D28" t="str">
        <f t="shared" si="0"/>
        <v>2004/12/17 14:30:00</v>
      </c>
      <c r="F28" t="str">
        <v>2004/12/17 14:30:00</v>
      </c>
      <c r="G28">
        <f t="shared" si="1"/>
        <v>38338</v>
      </c>
    </row>
    <row r="29" spans="1:7">
      <c r="A29" s="1">
        <v>38371</v>
      </c>
      <c r="B29">
        <v>3.4</v>
      </c>
      <c r="C29">
        <v>3.3</v>
      </c>
      <c r="D29" t="str">
        <f t="shared" si="0"/>
        <v>2005/01/19 14:30:00</v>
      </c>
      <c r="F29" t="str">
        <v>2005/01/19 14:30:00</v>
      </c>
      <c r="G29">
        <f t="shared" si="1"/>
        <v>38371</v>
      </c>
    </row>
    <row r="30" spans="1:7">
      <c r="A30" s="1">
        <v>38406</v>
      </c>
      <c r="B30">
        <v>3.2</v>
      </c>
      <c r="C30">
        <v>3</v>
      </c>
      <c r="D30" t="str">
        <f t="shared" si="0"/>
        <v>2005/02/23 14:30:00</v>
      </c>
      <c r="F30" t="str">
        <v>2005/02/23 14:30:00</v>
      </c>
      <c r="G30">
        <f t="shared" si="1"/>
        <v>38406</v>
      </c>
    </row>
    <row r="31" spans="1:7">
      <c r="A31" s="1">
        <v>38434</v>
      </c>
      <c r="B31">
        <v>2.9</v>
      </c>
      <c r="C31">
        <v>3</v>
      </c>
      <c r="D31" t="str">
        <f t="shared" si="0"/>
        <v>2005/03/23 14:30:00</v>
      </c>
      <c r="F31" t="str">
        <v>2005/03/23 14:30:00</v>
      </c>
      <c r="G31">
        <f t="shared" si="1"/>
        <v>38434</v>
      </c>
    </row>
    <row r="32" spans="1:7">
      <c r="A32" s="1">
        <v>38462</v>
      </c>
      <c r="B32">
        <v>3.1</v>
      </c>
      <c r="C32">
        <v>3.1</v>
      </c>
      <c r="D32" t="str">
        <f t="shared" si="0"/>
        <v>2005/04/20 14:30:00</v>
      </c>
      <c r="F32" t="str">
        <v>2005/04/20 14:30:00</v>
      </c>
      <c r="G32">
        <f t="shared" si="1"/>
        <v>38462</v>
      </c>
    </row>
    <row r="33" spans="1:7">
      <c r="A33" s="1">
        <v>38490</v>
      </c>
      <c r="B33">
        <v>3.3</v>
      </c>
      <c r="C33">
        <v>3.5</v>
      </c>
      <c r="D33" t="str">
        <f t="shared" si="0"/>
        <v>2005/05/18 14:30:00</v>
      </c>
      <c r="F33" t="str">
        <v>2005/05/18 14:30:00</v>
      </c>
      <c r="G33">
        <f t="shared" si="1"/>
        <v>38490</v>
      </c>
    </row>
    <row r="34" spans="1:7">
      <c r="A34" s="1">
        <v>38518</v>
      </c>
      <c r="B34">
        <v>2.9</v>
      </c>
      <c r="C34">
        <v>2.8</v>
      </c>
      <c r="D34" t="str">
        <f t="shared" si="0"/>
        <v>2005/06/15 14:30:00</v>
      </c>
      <c r="F34" t="str">
        <v>2005/06/15 14:30:00</v>
      </c>
      <c r="G34">
        <f t="shared" si="1"/>
        <v>38518</v>
      </c>
    </row>
    <row r="35" spans="1:7">
      <c r="A35" s="1">
        <v>38547</v>
      </c>
      <c r="B35">
        <v>2.7</v>
      </c>
      <c r="C35">
        <v>2.5</v>
      </c>
      <c r="D35" t="str">
        <f t="shared" si="0"/>
        <v>2005/07/14 14:30:00</v>
      </c>
      <c r="F35" t="str">
        <v>2005/07/14 14:30:00</v>
      </c>
      <c r="G35">
        <f t="shared" si="1"/>
        <v>38547</v>
      </c>
    </row>
    <row r="36" spans="1:7">
      <c r="A36" s="1">
        <v>38580</v>
      </c>
      <c r="B36">
        <v>3</v>
      </c>
      <c r="C36">
        <v>3.2</v>
      </c>
      <c r="D36" t="str">
        <f t="shared" si="0"/>
        <v>2005/08/16 14:30:00</v>
      </c>
      <c r="F36" t="str">
        <v>2005/08/16 14:30:00</v>
      </c>
      <c r="G36">
        <f t="shared" si="1"/>
        <v>38580</v>
      </c>
    </row>
    <row r="37" spans="1:7">
      <c r="A37" s="1">
        <v>38610</v>
      </c>
      <c r="B37">
        <v>3.7</v>
      </c>
      <c r="C37">
        <v>3.6</v>
      </c>
      <c r="D37" t="str">
        <f t="shared" si="0"/>
        <v>2005/09/15 14:30:00</v>
      </c>
      <c r="F37" t="str">
        <v>2005/09/15 14:30:00</v>
      </c>
      <c r="G37">
        <f t="shared" si="1"/>
        <v>38610</v>
      </c>
    </row>
    <row r="38" spans="1:7">
      <c r="A38" s="1">
        <v>38639</v>
      </c>
      <c r="B38">
        <v>4.3</v>
      </c>
      <c r="C38">
        <v>4.7</v>
      </c>
      <c r="D38" t="str">
        <f t="shared" si="0"/>
        <v>2005/10/14 14:30:00</v>
      </c>
      <c r="F38" t="str">
        <v>2005/10/14 14:30:00</v>
      </c>
      <c r="G38">
        <f t="shared" si="1"/>
        <v>38639</v>
      </c>
    </row>
    <row r="39" spans="1:7">
      <c r="A39" s="1">
        <v>38672</v>
      </c>
      <c r="B39">
        <v>4.0999999999999996</v>
      </c>
      <c r="C39">
        <v>4.3</v>
      </c>
      <c r="D39" t="str">
        <f t="shared" si="0"/>
        <v>2005/11/16 14:30:00</v>
      </c>
      <c r="F39" t="str">
        <v>2005/11/16 14:30:00</v>
      </c>
      <c r="G39">
        <f t="shared" si="1"/>
        <v>38672</v>
      </c>
    </row>
    <row r="40" spans="1:7">
      <c r="A40" s="1">
        <v>38701</v>
      </c>
      <c r="B40">
        <v>3.6</v>
      </c>
      <c r="C40">
        <v>3.5</v>
      </c>
      <c r="D40" t="str">
        <f t="shared" si="0"/>
        <v>2005/12/15 14:30:00</v>
      </c>
      <c r="F40" t="str">
        <v>2005/12/15 14:30:00</v>
      </c>
      <c r="G40">
        <f t="shared" si="1"/>
        <v>38701</v>
      </c>
    </row>
    <row r="41" spans="1:7">
      <c r="A41" s="1">
        <v>38735</v>
      </c>
      <c r="B41">
        <v>3.6</v>
      </c>
      <c r="C41">
        <v>3.4</v>
      </c>
      <c r="D41" t="str">
        <f t="shared" si="0"/>
        <v>2006/01/18 14:30:00</v>
      </c>
      <c r="F41" t="str">
        <v>2006/01/18 14:30:00</v>
      </c>
      <c r="G41">
        <f t="shared" si="1"/>
        <v>38735</v>
      </c>
    </row>
    <row r="42" spans="1:7">
      <c r="A42" s="1">
        <v>38770</v>
      </c>
      <c r="B42">
        <v>3.8</v>
      </c>
      <c r="C42">
        <v>4</v>
      </c>
      <c r="D42" t="str">
        <f t="shared" si="0"/>
        <v>2006/02/22 14:30:00</v>
      </c>
      <c r="F42" t="str">
        <v>2006/02/22 14:30:00</v>
      </c>
      <c r="G42">
        <f t="shared" si="1"/>
        <v>38770</v>
      </c>
    </row>
    <row r="43" spans="1:7">
      <c r="A43" s="1">
        <v>38792</v>
      </c>
      <c r="B43">
        <v>3.7</v>
      </c>
      <c r="C43">
        <v>3.6</v>
      </c>
      <c r="D43" t="str">
        <f t="shared" si="0"/>
        <v>2006/03/16 14:30:00</v>
      </c>
      <c r="F43" t="str">
        <v>2006/03/16 14:30:00</v>
      </c>
      <c r="G43">
        <f t="shared" si="1"/>
        <v>38792</v>
      </c>
    </row>
    <row r="44" spans="1:7">
      <c r="A44" s="1">
        <v>38826</v>
      </c>
      <c r="B44">
        <v>3.5</v>
      </c>
      <c r="C44">
        <v>3.4</v>
      </c>
      <c r="D44" t="str">
        <f t="shared" si="0"/>
        <v>2006/04/19 14:30:00</v>
      </c>
      <c r="F44" t="str">
        <v>2006/04/19 14:30:00</v>
      </c>
      <c r="G44">
        <f t="shared" si="1"/>
        <v>38826</v>
      </c>
    </row>
    <row r="45" spans="1:7">
      <c r="A45" s="1">
        <v>38854</v>
      </c>
      <c r="B45">
        <v>3.5</v>
      </c>
      <c r="C45">
        <v>3.5</v>
      </c>
      <c r="D45" t="str">
        <f t="shared" si="0"/>
        <v>2006/05/17 14:30:00</v>
      </c>
      <c r="F45" t="str">
        <v>2006/05/17 14:30:00</v>
      </c>
      <c r="G45">
        <f t="shared" si="1"/>
        <v>38854</v>
      </c>
    </row>
    <row r="46" spans="1:7">
      <c r="A46" s="1">
        <v>38882</v>
      </c>
      <c r="B46">
        <v>3.9</v>
      </c>
      <c r="C46">
        <v>4.2</v>
      </c>
      <c r="D46" t="str">
        <f t="shared" si="0"/>
        <v>2006/06/14 14:30:00</v>
      </c>
      <c r="F46" t="str">
        <v>2006/06/14 14:30:00</v>
      </c>
      <c r="G46">
        <f t="shared" si="1"/>
        <v>38882</v>
      </c>
    </row>
    <row r="47" spans="1:7">
      <c r="A47" s="1">
        <v>38917</v>
      </c>
      <c r="B47">
        <v>4.3</v>
      </c>
      <c r="C47">
        <v>4.3</v>
      </c>
      <c r="D47" t="str">
        <f t="shared" si="0"/>
        <v>2006/07/19 14:30:00</v>
      </c>
      <c r="F47" t="str">
        <v>2006/07/19 14:30:00</v>
      </c>
      <c r="G47">
        <f t="shared" si="1"/>
        <v>38917</v>
      </c>
    </row>
    <row r="48" spans="1:7">
      <c r="A48" s="1">
        <v>38945</v>
      </c>
      <c r="B48">
        <v>4.2</v>
      </c>
      <c r="C48">
        <v>4.0999999999999996</v>
      </c>
      <c r="D48" t="str">
        <f t="shared" si="0"/>
        <v>2006/08/16 14:30:00</v>
      </c>
      <c r="F48" t="str">
        <v>2006/08/16 14:30:00</v>
      </c>
      <c r="G48">
        <f t="shared" si="1"/>
        <v>38945</v>
      </c>
    </row>
    <row r="49" spans="1:7">
      <c r="A49" s="1">
        <v>38975</v>
      </c>
      <c r="B49">
        <v>3.8</v>
      </c>
      <c r="C49">
        <v>3.8</v>
      </c>
      <c r="D49" t="str">
        <f t="shared" si="0"/>
        <v>2006/09/15 14:30:00</v>
      </c>
      <c r="F49" t="str">
        <v>2006/09/15 14:30:00</v>
      </c>
      <c r="G49">
        <f t="shared" si="1"/>
        <v>38975</v>
      </c>
    </row>
    <row r="50" spans="1:7">
      <c r="A50" s="1">
        <v>39008</v>
      </c>
      <c r="B50">
        <v>2.2999999999999998</v>
      </c>
      <c r="C50">
        <v>2.1</v>
      </c>
      <c r="D50" t="str">
        <f t="shared" si="0"/>
        <v>2006/10/18 14:30:00</v>
      </c>
      <c r="F50" t="str">
        <v>2006/10/18 14:30:00</v>
      </c>
      <c r="G50">
        <f t="shared" si="1"/>
        <v>39008</v>
      </c>
    </row>
    <row r="51" spans="1:7">
      <c r="A51" s="1">
        <v>39037</v>
      </c>
      <c r="B51">
        <v>1.5</v>
      </c>
      <c r="C51">
        <v>1.3</v>
      </c>
      <c r="D51" t="str">
        <f t="shared" si="0"/>
        <v>2006/11/16 14:30:00</v>
      </c>
      <c r="F51" t="str">
        <v>2006/11/16 14:30:00</v>
      </c>
      <c r="G51">
        <f t="shared" si="1"/>
        <v>39037</v>
      </c>
    </row>
    <row r="52" spans="1:7">
      <c r="A52" s="1">
        <v>39066</v>
      </c>
      <c r="B52">
        <v>2.2000000000000002</v>
      </c>
      <c r="C52">
        <v>2</v>
      </c>
      <c r="D52" t="str">
        <f t="shared" si="0"/>
        <v>2006/12/15 14:30:00</v>
      </c>
      <c r="F52" t="str">
        <v>2006/12/15 14:30:00</v>
      </c>
      <c r="G52">
        <f t="shared" si="1"/>
        <v>39066</v>
      </c>
    </row>
    <row r="53" spans="1:7">
      <c r="A53" s="1">
        <v>39100</v>
      </c>
      <c r="B53">
        <v>2.4</v>
      </c>
      <c r="C53">
        <v>2.5</v>
      </c>
      <c r="D53" t="str">
        <f t="shared" si="0"/>
        <v>2007/01/18 14:30:00</v>
      </c>
      <c r="F53" t="str">
        <v>2007/01/18 14:30:00</v>
      </c>
      <c r="G53">
        <f t="shared" si="1"/>
        <v>39100</v>
      </c>
    </row>
    <row r="54" spans="1:7">
      <c r="A54" s="1">
        <v>39134</v>
      </c>
      <c r="B54">
        <v>1.9</v>
      </c>
      <c r="C54">
        <v>2.1</v>
      </c>
      <c r="D54" t="str">
        <f t="shared" si="0"/>
        <v>2007/02/21 14:30:00</v>
      </c>
      <c r="F54" t="str">
        <v>2007/02/21 14:30:00</v>
      </c>
      <c r="G54">
        <f t="shared" si="1"/>
        <v>39134</v>
      </c>
    </row>
    <row r="55" spans="1:7">
      <c r="A55" s="1">
        <v>39157</v>
      </c>
      <c r="B55">
        <v>2.2999999999999998</v>
      </c>
      <c r="C55">
        <v>2.4</v>
      </c>
      <c r="D55" t="str">
        <f t="shared" si="0"/>
        <v>2007/03/16 13:30:00</v>
      </c>
      <c r="F55" t="str">
        <v>2007/03/16 13:30:00</v>
      </c>
      <c r="G55">
        <f t="shared" si="1"/>
        <v>39157</v>
      </c>
    </row>
    <row r="56" spans="1:7">
      <c r="A56" s="1">
        <v>39189</v>
      </c>
      <c r="B56">
        <v>2.8</v>
      </c>
      <c r="C56">
        <v>2.8</v>
      </c>
      <c r="D56" t="str">
        <f t="shared" si="0"/>
        <v>2007/04/17 14:30:00</v>
      </c>
      <c r="F56" t="str">
        <v>2007/04/17 14:30:00</v>
      </c>
      <c r="G56">
        <f t="shared" si="1"/>
        <v>39189</v>
      </c>
    </row>
    <row r="57" spans="1:7">
      <c r="A57" s="1">
        <v>39217</v>
      </c>
      <c r="B57">
        <v>2.6</v>
      </c>
      <c r="C57">
        <v>2.6</v>
      </c>
      <c r="D57" t="str">
        <f t="shared" si="0"/>
        <v>2007/05/15 14:30:00</v>
      </c>
      <c r="F57" t="str">
        <v>2007/05/15 14:30:00</v>
      </c>
      <c r="G57">
        <f t="shared" si="1"/>
        <v>39217</v>
      </c>
    </row>
    <row r="58" spans="1:7">
      <c r="A58" s="1">
        <v>39248</v>
      </c>
      <c r="B58">
        <v>2.6</v>
      </c>
      <c r="C58">
        <v>2.7</v>
      </c>
      <c r="D58" t="str">
        <f t="shared" si="0"/>
        <v>2007/06/15 14:30:00</v>
      </c>
      <c r="F58" t="str">
        <v>2007/06/15 14:30:00</v>
      </c>
      <c r="G58">
        <f t="shared" si="1"/>
        <v>39248</v>
      </c>
    </row>
    <row r="59" spans="1:7">
      <c r="A59" s="1">
        <v>39281</v>
      </c>
      <c r="B59">
        <v>2.6</v>
      </c>
      <c r="C59">
        <v>2.7</v>
      </c>
      <c r="D59" t="str">
        <f t="shared" si="0"/>
        <v>2007/07/18 14:30:00</v>
      </c>
      <c r="F59" t="str">
        <v>2007/07/18 14:30:00</v>
      </c>
      <c r="G59">
        <f t="shared" si="1"/>
        <v>39281</v>
      </c>
    </row>
    <row r="60" spans="1:7">
      <c r="A60" s="1">
        <v>39309</v>
      </c>
      <c r="B60">
        <v>2.4</v>
      </c>
      <c r="C60">
        <v>2.4</v>
      </c>
      <c r="D60" t="str">
        <f t="shared" si="0"/>
        <v>2007/08/15 14:30:00</v>
      </c>
      <c r="F60" t="str">
        <v>2007/08/15 14:30:00</v>
      </c>
      <c r="G60">
        <f t="shared" si="1"/>
        <v>39309</v>
      </c>
    </row>
    <row r="61" spans="1:7">
      <c r="A61" s="1">
        <v>39344</v>
      </c>
      <c r="B61">
        <v>2.1</v>
      </c>
      <c r="C61">
        <v>2</v>
      </c>
      <c r="D61" t="str">
        <f t="shared" si="0"/>
        <v>2007/09/19 14:30:00</v>
      </c>
      <c r="F61" t="str">
        <v>2007/09/19 14:30:00</v>
      </c>
      <c r="G61">
        <f t="shared" si="1"/>
        <v>39344</v>
      </c>
    </row>
    <row r="62" spans="1:7">
      <c r="A62" s="1">
        <v>39372</v>
      </c>
      <c r="B62">
        <v>2.8</v>
      </c>
      <c r="C62">
        <v>2.8</v>
      </c>
      <c r="D62" t="str">
        <f t="shared" si="0"/>
        <v>2007/10/17 14:30:00</v>
      </c>
      <c r="F62" t="str">
        <v>2007/10/17 14:30:00</v>
      </c>
      <c r="G62">
        <f t="shared" si="1"/>
        <v>39372</v>
      </c>
    </row>
    <row r="63" spans="1:7">
      <c r="A63" s="1">
        <v>39401</v>
      </c>
      <c r="B63">
        <v>3.5</v>
      </c>
      <c r="C63">
        <v>3.5</v>
      </c>
      <c r="D63" t="str">
        <f t="shared" si="0"/>
        <v>2007/11/15 14:30:00</v>
      </c>
      <c r="F63" t="str">
        <v>2007/11/15 14:30:00</v>
      </c>
      <c r="G63">
        <f t="shared" si="1"/>
        <v>39401</v>
      </c>
    </row>
    <row r="64" spans="1:7">
      <c r="A64" s="1">
        <v>39430</v>
      </c>
      <c r="B64">
        <v>4.0999999999999996</v>
      </c>
      <c r="C64">
        <v>4.3</v>
      </c>
      <c r="D64" t="str">
        <f t="shared" si="0"/>
        <v>2007/12/14 14:30:00</v>
      </c>
      <c r="F64" t="str">
        <v>2007/12/14 14:30:00</v>
      </c>
      <c r="G64">
        <f t="shared" si="1"/>
        <v>39430</v>
      </c>
    </row>
    <row r="65" spans="1:7">
      <c r="A65" s="1">
        <v>39463</v>
      </c>
      <c r="B65">
        <v>4.0999999999999996</v>
      </c>
      <c r="C65">
        <v>4.0999999999999996</v>
      </c>
      <c r="D65" t="str">
        <f t="shared" si="0"/>
        <v>2008/01/16 14:30:00</v>
      </c>
      <c r="F65" t="str">
        <v>2008/01/16 14:30:00</v>
      </c>
      <c r="G65">
        <f t="shared" si="1"/>
        <v>39463</v>
      </c>
    </row>
    <row r="66" spans="1:7">
      <c r="A66" s="1">
        <v>39498</v>
      </c>
      <c r="B66">
        <v>4.2</v>
      </c>
      <c r="C66">
        <v>4.3</v>
      </c>
      <c r="D66" t="str">
        <f t="shared" si="0"/>
        <v>2008/02/20 14:30:00</v>
      </c>
      <c r="F66" t="str">
        <v>2008/02/20 14:30:00</v>
      </c>
      <c r="G66">
        <f t="shared" si="1"/>
        <v>39498</v>
      </c>
    </row>
    <row r="67" spans="1:7">
      <c r="A67" s="1">
        <v>39521</v>
      </c>
      <c r="B67">
        <v>4.3</v>
      </c>
      <c r="C67">
        <v>4</v>
      </c>
      <c r="D67" t="str">
        <f t="shared" ref="D67:D130" si="2">_xlfn.XLOOKUP(A67,$G:$G,$F:$F,"")</f>
        <v>2008/03/14 13:30:00</v>
      </c>
      <c r="F67" t="str">
        <v>2008/03/14 13:30:00</v>
      </c>
      <c r="G67">
        <f t="shared" ref="G67:G130" si="3">INT(F67)</f>
        <v>39521</v>
      </c>
    </row>
    <row r="68" spans="1:7">
      <c r="A68" s="1">
        <v>39554</v>
      </c>
      <c r="B68">
        <v>4</v>
      </c>
      <c r="C68">
        <v>4</v>
      </c>
      <c r="D68" t="str">
        <f t="shared" si="2"/>
        <v>2008/04/16 14:30:00</v>
      </c>
      <c r="F68" t="str">
        <v>2008/04/16 14:30:00</v>
      </c>
      <c r="G68">
        <f t="shared" si="3"/>
        <v>39554</v>
      </c>
    </row>
    <row r="69" spans="1:7">
      <c r="A69" s="1">
        <v>39582</v>
      </c>
      <c r="B69">
        <v>4</v>
      </c>
      <c r="C69">
        <v>3.9</v>
      </c>
      <c r="D69" t="str">
        <f t="shared" si="2"/>
        <v>2008/05/14 14:30:00</v>
      </c>
      <c r="F69" t="str">
        <v>2008/05/14 14:30:00</v>
      </c>
      <c r="G69">
        <f t="shared" si="3"/>
        <v>39582</v>
      </c>
    </row>
    <row r="70" spans="1:7">
      <c r="A70" s="1">
        <v>39612</v>
      </c>
      <c r="B70">
        <v>3.9</v>
      </c>
      <c r="C70">
        <v>4.2</v>
      </c>
      <c r="D70" t="str">
        <f t="shared" si="2"/>
        <v>2008/06/13 14:30:00</v>
      </c>
      <c r="F70" t="str">
        <v>2008/06/13 14:30:00</v>
      </c>
      <c r="G70">
        <f t="shared" si="3"/>
        <v>39612</v>
      </c>
    </row>
    <row r="71" spans="1:7">
      <c r="A71" s="1">
        <v>39645</v>
      </c>
      <c r="B71">
        <v>4.5</v>
      </c>
      <c r="C71">
        <v>5</v>
      </c>
      <c r="D71" t="str">
        <f t="shared" si="2"/>
        <v>2008/07/16 14:30:00</v>
      </c>
      <c r="F71" t="str">
        <v>2008/07/16 14:30:00</v>
      </c>
      <c r="G71">
        <f t="shared" si="3"/>
        <v>39645</v>
      </c>
    </row>
    <row r="72" spans="1:7">
      <c r="A72" s="1">
        <v>39674</v>
      </c>
      <c r="B72">
        <v>5.0999999999999996</v>
      </c>
      <c r="C72">
        <v>5.6</v>
      </c>
      <c r="D72" t="str">
        <f t="shared" si="2"/>
        <v>2008/08/14 14:30:00</v>
      </c>
      <c r="F72" t="str">
        <v>2008/08/14 14:30:00</v>
      </c>
      <c r="G72">
        <f t="shared" si="3"/>
        <v>39674</v>
      </c>
    </row>
    <row r="73" spans="1:7">
      <c r="A73" s="1">
        <v>39707</v>
      </c>
      <c r="B73">
        <v>5.6</v>
      </c>
      <c r="C73">
        <v>5.4</v>
      </c>
      <c r="D73" t="str">
        <f t="shared" si="2"/>
        <v>2008/09/16 14:30:00</v>
      </c>
      <c r="F73" t="str">
        <v>2008/09/16 14:30:00</v>
      </c>
      <c r="G73">
        <f t="shared" si="3"/>
        <v>39707</v>
      </c>
    </row>
    <row r="74" spans="1:7">
      <c r="A74" s="1">
        <v>39737</v>
      </c>
      <c r="B74">
        <v>5</v>
      </c>
      <c r="C74">
        <v>4.9000000000000004</v>
      </c>
      <c r="D74" t="str">
        <f t="shared" si="2"/>
        <v>2008/10/16 14:30:00</v>
      </c>
      <c r="F74" t="str">
        <v>2008/10/16 14:30:00</v>
      </c>
      <c r="G74">
        <f t="shared" si="3"/>
        <v>39737</v>
      </c>
    </row>
    <row r="75" spans="1:7">
      <c r="A75" s="1">
        <v>39771</v>
      </c>
      <c r="B75">
        <v>4</v>
      </c>
      <c r="C75">
        <v>3.7</v>
      </c>
      <c r="D75" t="str">
        <f t="shared" si="2"/>
        <v>2008/11/19 14:30:00</v>
      </c>
      <c r="F75" t="str">
        <v>2008/11/19 14:30:00</v>
      </c>
      <c r="G75">
        <f t="shared" si="3"/>
        <v>39771</v>
      </c>
    </row>
    <row r="76" spans="1:7">
      <c r="A76" s="1">
        <v>39798</v>
      </c>
      <c r="B76">
        <v>1.5</v>
      </c>
      <c r="C76">
        <v>1.1000000000000001</v>
      </c>
      <c r="D76" t="str">
        <f t="shared" si="2"/>
        <v>2008/12/16 14:30:00</v>
      </c>
      <c r="F76" t="str">
        <v>2008/12/16 14:30:00</v>
      </c>
      <c r="G76">
        <f t="shared" si="3"/>
        <v>39798</v>
      </c>
    </row>
    <row r="77" spans="1:7">
      <c r="A77" s="1">
        <v>39829</v>
      </c>
      <c r="B77">
        <v>-0.2</v>
      </c>
      <c r="C77">
        <v>0.1</v>
      </c>
      <c r="D77" t="str">
        <f t="shared" si="2"/>
        <v>2009/01/16 14:30:00</v>
      </c>
      <c r="F77" t="str">
        <v>2009/01/16 14:30:00</v>
      </c>
      <c r="G77">
        <f t="shared" si="3"/>
        <v>39829</v>
      </c>
    </row>
    <row r="78" spans="1:7">
      <c r="A78" s="1">
        <v>39864</v>
      </c>
      <c r="B78">
        <v>-0.1</v>
      </c>
      <c r="C78">
        <v>0</v>
      </c>
      <c r="D78" t="str">
        <f t="shared" si="2"/>
        <v>2009/02/20 14:30:00</v>
      </c>
      <c r="F78" t="str">
        <v>2009/02/20 14:30:00</v>
      </c>
      <c r="G78">
        <f t="shared" si="3"/>
        <v>39864</v>
      </c>
    </row>
    <row r="79" spans="1:7">
      <c r="A79" s="1">
        <v>39890</v>
      </c>
      <c r="B79">
        <v>0</v>
      </c>
      <c r="C79">
        <v>0.2</v>
      </c>
      <c r="D79" t="str">
        <f t="shared" si="2"/>
        <v>2009/03/18 13:30:00</v>
      </c>
      <c r="F79" t="str">
        <v>2009/03/18 13:30:00</v>
      </c>
      <c r="G79">
        <f t="shared" si="3"/>
        <v>39890</v>
      </c>
    </row>
    <row r="80" spans="1:7">
      <c r="A80" s="1">
        <v>39918</v>
      </c>
      <c r="B80">
        <v>-0.1</v>
      </c>
      <c r="C80">
        <v>-0.4</v>
      </c>
      <c r="D80" t="str">
        <f t="shared" si="2"/>
        <v>2009/04/15 14:30:00</v>
      </c>
      <c r="F80" t="str">
        <v>2009/04/15 14:30:00</v>
      </c>
      <c r="G80">
        <f t="shared" si="3"/>
        <v>39918</v>
      </c>
    </row>
    <row r="81" spans="1:7">
      <c r="A81" s="1">
        <v>39948</v>
      </c>
      <c r="B81">
        <v>-0.6</v>
      </c>
      <c r="C81">
        <v>-0.7</v>
      </c>
      <c r="D81" t="str">
        <f t="shared" si="2"/>
        <v>2009/05/15 14:30:00</v>
      </c>
      <c r="F81" t="str">
        <v>2009/05/15 14:30:00</v>
      </c>
      <c r="G81">
        <f t="shared" si="3"/>
        <v>39948</v>
      </c>
    </row>
    <row r="82" spans="1:7">
      <c r="A82" s="1">
        <v>39981</v>
      </c>
      <c r="B82">
        <v>-0.9</v>
      </c>
      <c r="C82">
        <v>-1.3</v>
      </c>
      <c r="D82" t="str">
        <f t="shared" si="2"/>
        <v>2009/06/17 14:30:00</v>
      </c>
      <c r="F82" t="str">
        <v>2009/06/17 14:30:00</v>
      </c>
      <c r="G82">
        <f t="shared" si="3"/>
        <v>39981</v>
      </c>
    </row>
    <row r="83" spans="1:7">
      <c r="A83" s="1">
        <v>40009</v>
      </c>
      <c r="B83">
        <v>-1.5</v>
      </c>
      <c r="C83">
        <v>-1.4</v>
      </c>
      <c r="D83" t="str">
        <f t="shared" si="2"/>
        <v>2009/07/15 14:30:00</v>
      </c>
      <c r="F83" t="str">
        <v>2009/07/15 14:30:00</v>
      </c>
      <c r="G83">
        <f t="shared" si="3"/>
        <v>40009</v>
      </c>
    </row>
    <row r="84" spans="1:7">
      <c r="A84" s="1">
        <v>40039</v>
      </c>
      <c r="B84">
        <v>-1.9</v>
      </c>
      <c r="C84">
        <v>-2.1</v>
      </c>
      <c r="D84" t="str">
        <f t="shared" si="2"/>
        <v>2009/08/14 14:30:00</v>
      </c>
      <c r="F84" t="str">
        <v>2009/08/14 14:30:00</v>
      </c>
      <c r="G84">
        <f t="shared" si="3"/>
        <v>40039</v>
      </c>
    </row>
    <row r="85" spans="1:7">
      <c r="A85" s="1">
        <v>40072</v>
      </c>
      <c r="B85">
        <v>-1.7</v>
      </c>
      <c r="C85">
        <v>-1.5</v>
      </c>
      <c r="D85" t="str">
        <f t="shared" si="2"/>
        <v>2009/09/16 14:30:00</v>
      </c>
      <c r="F85" t="str">
        <v>2009/09/16 14:30:00</v>
      </c>
      <c r="G85">
        <f t="shared" si="3"/>
        <v>40072</v>
      </c>
    </row>
    <row r="86" spans="1:7">
      <c r="A86" s="1">
        <v>40101</v>
      </c>
      <c r="B86">
        <v>-1.4</v>
      </c>
      <c r="C86">
        <v>-1.3</v>
      </c>
      <c r="D86" t="str">
        <f t="shared" si="2"/>
        <v>2009/10/15 14:30:00</v>
      </c>
      <c r="F86" t="str">
        <v>2009/10/15 14:30:00</v>
      </c>
      <c r="G86">
        <f t="shared" si="3"/>
        <v>40101</v>
      </c>
    </row>
    <row r="87" spans="1:7">
      <c r="A87" s="1">
        <v>40135</v>
      </c>
      <c r="B87">
        <v>-0.3</v>
      </c>
      <c r="C87">
        <v>-0.2</v>
      </c>
      <c r="D87" t="str">
        <f t="shared" si="2"/>
        <v>2009/11/18 14:30:00</v>
      </c>
      <c r="F87" t="str">
        <v>2009/11/18 14:30:00</v>
      </c>
      <c r="G87">
        <f t="shared" si="3"/>
        <v>40135</v>
      </c>
    </row>
    <row r="88" spans="1:7">
      <c r="A88" s="1">
        <v>40163</v>
      </c>
      <c r="B88">
        <v>1.8</v>
      </c>
      <c r="C88">
        <v>1.8</v>
      </c>
      <c r="D88" t="str">
        <f t="shared" si="2"/>
        <v>2009/12/16 14:30:00</v>
      </c>
      <c r="F88" t="str">
        <v>2009/12/16 14:30:00</v>
      </c>
      <c r="G88">
        <f t="shared" si="3"/>
        <v>40163</v>
      </c>
    </row>
    <row r="89" spans="1:7">
      <c r="A89" s="1">
        <v>40193</v>
      </c>
      <c r="B89">
        <v>2.8</v>
      </c>
      <c r="C89">
        <v>2.7</v>
      </c>
      <c r="D89" t="str">
        <f t="shared" si="2"/>
        <v>2010/01/15 14:30:00</v>
      </c>
      <c r="F89" t="str">
        <v>2010/01/15 14:30:00</v>
      </c>
      <c r="G89">
        <f t="shared" si="3"/>
        <v>40193</v>
      </c>
    </row>
    <row r="90" spans="1:7">
      <c r="A90" s="1">
        <v>40228</v>
      </c>
      <c r="B90">
        <v>2.8</v>
      </c>
      <c r="C90">
        <v>2.6</v>
      </c>
      <c r="D90" t="str">
        <f t="shared" si="2"/>
        <v>2010/02/19 14:30:00</v>
      </c>
      <c r="F90" t="str">
        <v>2010/02/19 14:30:00</v>
      </c>
      <c r="G90">
        <f t="shared" si="3"/>
        <v>40228</v>
      </c>
    </row>
    <row r="91" spans="1:7">
      <c r="A91" s="1">
        <v>40255</v>
      </c>
      <c r="B91">
        <v>2.2999999999999998</v>
      </c>
      <c r="C91">
        <v>2.1</v>
      </c>
      <c r="D91" t="str">
        <f t="shared" si="2"/>
        <v>2010/03/18 13:30:00</v>
      </c>
      <c r="F91" t="str">
        <v>2010/03/18 13:30:00</v>
      </c>
      <c r="G91">
        <f t="shared" si="3"/>
        <v>40255</v>
      </c>
    </row>
    <row r="92" spans="1:7">
      <c r="A92" s="1">
        <v>40282</v>
      </c>
      <c r="B92">
        <v>2.4</v>
      </c>
      <c r="C92">
        <v>2.2999999999999998</v>
      </c>
      <c r="D92" t="str">
        <f t="shared" si="2"/>
        <v>2010/04/14 14:30:00</v>
      </c>
      <c r="F92" t="str">
        <v>2010/04/14 14:30:00</v>
      </c>
      <c r="G92">
        <f t="shared" si="3"/>
        <v>40282</v>
      </c>
    </row>
    <row r="93" spans="1:7">
      <c r="A93" s="1">
        <v>40317</v>
      </c>
      <c r="B93">
        <v>2.4</v>
      </c>
      <c r="C93">
        <v>2.2000000000000002</v>
      </c>
      <c r="D93" t="str">
        <f t="shared" si="2"/>
        <v>2010/05/19 14:30:00</v>
      </c>
      <c r="F93" t="str">
        <v>2010/05/19 14:30:00</v>
      </c>
      <c r="G93">
        <f t="shared" si="3"/>
        <v>40317</v>
      </c>
    </row>
    <row r="94" spans="1:7">
      <c r="A94" s="1">
        <v>40346</v>
      </c>
      <c r="B94">
        <v>2</v>
      </c>
      <c r="C94">
        <v>2</v>
      </c>
      <c r="D94" t="str">
        <f t="shared" si="2"/>
        <v>2010/06/17 14:30:00</v>
      </c>
      <c r="F94" t="str">
        <v>2010/06/17 14:30:00</v>
      </c>
      <c r="G94">
        <f t="shared" si="3"/>
        <v>40346</v>
      </c>
    </row>
    <row r="95" spans="1:7">
      <c r="A95" s="1">
        <v>40375</v>
      </c>
      <c r="B95">
        <v>1.2</v>
      </c>
      <c r="C95">
        <v>1.1000000000000001</v>
      </c>
      <c r="D95" t="str">
        <f t="shared" si="2"/>
        <v>2010/07/16 14:30:00</v>
      </c>
      <c r="F95" t="str">
        <v>2010/07/16 14:30:00</v>
      </c>
      <c r="G95">
        <f t="shared" si="3"/>
        <v>40375</v>
      </c>
    </row>
    <row r="96" spans="1:7">
      <c r="A96" s="1">
        <v>40403</v>
      </c>
      <c r="B96">
        <v>1.2</v>
      </c>
      <c r="C96">
        <v>1.2</v>
      </c>
      <c r="D96" t="str">
        <f t="shared" si="2"/>
        <v>2010/08/13 14:30:00</v>
      </c>
      <c r="F96" t="str">
        <v>2010/08/13 14:30:00</v>
      </c>
      <c r="G96">
        <f t="shared" si="3"/>
        <v>40403</v>
      </c>
    </row>
    <row r="97" spans="1:7">
      <c r="A97" s="1">
        <v>40438</v>
      </c>
      <c r="B97">
        <v>1.1000000000000001</v>
      </c>
      <c r="C97">
        <v>1.1000000000000001</v>
      </c>
      <c r="D97" t="str">
        <f t="shared" si="2"/>
        <v>2010/09/17 14:30:00</v>
      </c>
      <c r="F97" t="str">
        <v>2010/09/17 14:30:00</v>
      </c>
      <c r="G97">
        <f t="shared" si="3"/>
        <v>40438</v>
      </c>
    </row>
    <row r="98" spans="1:7">
      <c r="A98" s="1">
        <v>40466</v>
      </c>
      <c r="B98">
        <v>1.2</v>
      </c>
      <c r="C98">
        <v>1.1000000000000001</v>
      </c>
      <c r="D98" t="str">
        <f t="shared" si="2"/>
        <v>2010/10/15 14:30:00</v>
      </c>
      <c r="F98" t="str">
        <v>2010/10/15 14:30:00</v>
      </c>
      <c r="G98">
        <f t="shared" si="3"/>
        <v>40466</v>
      </c>
    </row>
    <row r="99" spans="1:7">
      <c r="A99" s="1">
        <v>40499</v>
      </c>
      <c r="B99">
        <v>1.3</v>
      </c>
      <c r="C99">
        <v>1.2</v>
      </c>
      <c r="D99" t="str">
        <f t="shared" si="2"/>
        <v>2010/11/17 14:30:00</v>
      </c>
      <c r="F99" t="str">
        <v>2010/11/17 14:30:00</v>
      </c>
      <c r="G99">
        <f t="shared" si="3"/>
        <v>40499</v>
      </c>
    </row>
    <row r="100" spans="1:7">
      <c r="A100" s="1">
        <v>40527</v>
      </c>
      <c r="B100">
        <v>1.1000000000000001</v>
      </c>
      <c r="C100">
        <v>1.1000000000000001</v>
      </c>
      <c r="D100" t="str">
        <f t="shared" si="2"/>
        <v>2010/12/15 14:30:00</v>
      </c>
      <c r="F100" t="str">
        <v>2010/12/15 14:30:00</v>
      </c>
      <c r="G100">
        <f t="shared" si="3"/>
        <v>40527</v>
      </c>
    </row>
    <row r="101" spans="1:7">
      <c r="A101" s="1">
        <v>40557</v>
      </c>
      <c r="B101">
        <v>1.3</v>
      </c>
      <c r="C101">
        <v>1.5</v>
      </c>
      <c r="D101" t="str">
        <f t="shared" si="2"/>
        <v>2011/01/14 14:30:00</v>
      </c>
      <c r="F101" t="str">
        <v>2011/01/14 14:30:00</v>
      </c>
      <c r="G101">
        <f t="shared" si="3"/>
        <v>40557</v>
      </c>
    </row>
    <row r="102" spans="1:7">
      <c r="A102" s="1">
        <v>40591</v>
      </c>
      <c r="B102">
        <v>1.6</v>
      </c>
      <c r="C102">
        <v>1.6</v>
      </c>
      <c r="D102" t="str">
        <f t="shared" si="2"/>
        <v>2011/02/17 14:30:00</v>
      </c>
      <c r="F102" t="str">
        <v>2011/02/17 14:30:00</v>
      </c>
      <c r="G102">
        <f t="shared" si="3"/>
        <v>40591</v>
      </c>
    </row>
    <row r="103" spans="1:7">
      <c r="A103" s="1">
        <v>40619</v>
      </c>
      <c r="B103">
        <v>2</v>
      </c>
      <c r="C103">
        <v>2.1</v>
      </c>
      <c r="D103" t="str">
        <f t="shared" si="2"/>
        <v>2011/03/17 13:30:00</v>
      </c>
      <c r="F103" t="str">
        <v>2011/03/17 13:30:00</v>
      </c>
      <c r="G103">
        <f t="shared" si="3"/>
        <v>40619</v>
      </c>
    </row>
    <row r="104" spans="1:7">
      <c r="A104" s="1">
        <v>40648</v>
      </c>
      <c r="B104">
        <v>2.6</v>
      </c>
      <c r="C104">
        <v>2.7</v>
      </c>
      <c r="D104" t="str">
        <f t="shared" si="2"/>
        <v>2011/04/15 14:30:00</v>
      </c>
      <c r="F104" t="str">
        <v>2011/04/15 14:30:00</v>
      </c>
      <c r="G104">
        <f t="shared" si="3"/>
        <v>40648</v>
      </c>
    </row>
    <row r="105" spans="1:7">
      <c r="A105" s="1">
        <v>40676</v>
      </c>
      <c r="B105">
        <v>3.1</v>
      </c>
      <c r="C105">
        <v>3.2</v>
      </c>
      <c r="D105" t="str">
        <f t="shared" si="2"/>
        <v>2011/05/13 14:30:00</v>
      </c>
      <c r="F105" t="str">
        <v>2011/05/13 14:30:00</v>
      </c>
      <c r="G105">
        <f t="shared" si="3"/>
        <v>40676</v>
      </c>
    </row>
    <row r="106" spans="1:7">
      <c r="A106" s="1">
        <v>40709</v>
      </c>
      <c r="B106">
        <v>3.4</v>
      </c>
      <c r="C106">
        <v>3.6</v>
      </c>
      <c r="D106" t="str">
        <f t="shared" si="2"/>
        <v>2011/06/15 14:30:00</v>
      </c>
      <c r="F106" t="str">
        <v>2011/06/15 14:30:00</v>
      </c>
      <c r="G106">
        <f t="shared" si="3"/>
        <v>40709</v>
      </c>
    </row>
    <row r="107" spans="1:7">
      <c r="A107" s="1">
        <v>40739</v>
      </c>
      <c r="B107">
        <v>3.6</v>
      </c>
      <c r="C107">
        <v>3.6</v>
      </c>
      <c r="D107" t="str">
        <f t="shared" si="2"/>
        <v>2011/07/15 14:30:00</v>
      </c>
      <c r="F107" t="str">
        <v>2011/07/15 14:30:00</v>
      </c>
      <c r="G107">
        <f t="shared" si="3"/>
        <v>40739</v>
      </c>
    </row>
    <row r="108" spans="1:7">
      <c r="A108" s="1">
        <v>40773</v>
      </c>
      <c r="B108">
        <v>3.3</v>
      </c>
      <c r="C108">
        <v>3.6</v>
      </c>
      <c r="D108" t="str">
        <f t="shared" si="2"/>
        <v>2011/08/18 14:30:00</v>
      </c>
      <c r="F108" t="str">
        <v>2011/08/18 14:30:00</v>
      </c>
      <c r="G108">
        <f t="shared" si="3"/>
        <v>40773</v>
      </c>
    </row>
    <row r="109" spans="1:7">
      <c r="A109" s="1">
        <v>40801</v>
      </c>
      <c r="B109">
        <v>3.6</v>
      </c>
      <c r="C109">
        <v>3.8</v>
      </c>
      <c r="D109" t="str">
        <f t="shared" si="2"/>
        <v>2011/09/15 14:30:00</v>
      </c>
      <c r="F109" t="str">
        <v>2011/09/15 14:30:00</v>
      </c>
      <c r="G109">
        <f t="shared" si="3"/>
        <v>40801</v>
      </c>
    </row>
    <row r="110" spans="1:7">
      <c r="A110" s="1">
        <v>40835</v>
      </c>
      <c r="B110">
        <v>3.9</v>
      </c>
      <c r="C110">
        <v>3.9</v>
      </c>
      <c r="D110" t="str">
        <f t="shared" si="2"/>
        <v>2011/10/19 14:30:00</v>
      </c>
      <c r="F110" t="str">
        <v>2011/10/19 14:30:00</v>
      </c>
      <c r="G110">
        <f t="shared" si="3"/>
        <v>40835</v>
      </c>
    </row>
    <row r="111" spans="1:7">
      <c r="A111" s="1">
        <v>40863</v>
      </c>
      <c r="B111">
        <v>3.7</v>
      </c>
      <c r="C111">
        <v>3.5</v>
      </c>
      <c r="D111" t="str">
        <f t="shared" si="2"/>
        <v>2011/11/16 14:30:00</v>
      </c>
      <c r="F111" t="str">
        <v>2011/11/16 14:30:00</v>
      </c>
      <c r="G111">
        <f t="shared" si="3"/>
        <v>40863</v>
      </c>
    </row>
    <row r="112" spans="1:7">
      <c r="A112" s="1">
        <v>40893</v>
      </c>
      <c r="B112">
        <v>3.5</v>
      </c>
      <c r="C112">
        <v>3.4</v>
      </c>
      <c r="D112" t="str">
        <f t="shared" si="2"/>
        <v>2011/12/16 14:30:00</v>
      </c>
      <c r="F112" t="str">
        <v>2011/12/16 14:30:00</v>
      </c>
      <c r="G112">
        <f t="shared" si="3"/>
        <v>40893</v>
      </c>
    </row>
    <row r="113" spans="1:7">
      <c r="A113" s="1">
        <v>40927</v>
      </c>
      <c r="B113">
        <v>3</v>
      </c>
      <c r="C113">
        <v>3</v>
      </c>
      <c r="D113" t="str">
        <f t="shared" si="2"/>
        <v>2012/01/19 14:30:00</v>
      </c>
      <c r="F113" t="str">
        <v>2012/01/19 14:30:00</v>
      </c>
      <c r="G113">
        <f t="shared" si="3"/>
        <v>40927</v>
      </c>
    </row>
    <row r="114" spans="1:7">
      <c r="A114" s="1">
        <v>40956</v>
      </c>
      <c r="B114">
        <v>2.9</v>
      </c>
      <c r="C114">
        <v>2.9</v>
      </c>
      <c r="D114" t="str">
        <f t="shared" si="2"/>
        <v>2012/02/17 14:30:00</v>
      </c>
      <c r="F114" t="str">
        <v>2012/02/17 14:30:00</v>
      </c>
      <c r="G114">
        <f t="shared" si="3"/>
        <v>40956</v>
      </c>
    </row>
    <row r="115" spans="1:7">
      <c r="A115" s="1">
        <v>40984</v>
      </c>
      <c r="B115">
        <v>2.9</v>
      </c>
      <c r="C115">
        <v>2.9</v>
      </c>
      <c r="D115" t="str">
        <f t="shared" si="2"/>
        <v>2012/03/16 13:30:00</v>
      </c>
      <c r="F115" t="str">
        <v>2012/03/16 13:30:00</v>
      </c>
      <c r="G115">
        <f t="shared" si="3"/>
        <v>40984</v>
      </c>
    </row>
    <row r="116" spans="1:7">
      <c r="A116" s="1">
        <v>41012</v>
      </c>
      <c r="B116">
        <v>2.7</v>
      </c>
      <c r="C116">
        <v>2.7</v>
      </c>
      <c r="D116" t="str">
        <f t="shared" si="2"/>
        <v>2012/04/13 14:30:00</v>
      </c>
      <c r="F116" t="str">
        <v>2012/04/13 14:30:00</v>
      </c>
      <c r="G116">
        <f t="shared" si="3"/>
        <v>41012</v>
      </c>
    </row>
    <row r="117" spans="1:7">
      <c r="A117" s="1">
        <v>41044</v>
      </c>
      <c r="B117">
        <v>2.2999999999999998</v>
      </c>
      <c r="C117">
        <v>2.2999999999999998</v>
      </c>
      <c r="D117" t="str">
        <f t="shared" si="2"/>
        <v>2012/05/15 14:30:00</v>
      </c>
      <c r="F117" t="str">
        <v>2012/05/15 14:30:00</v>
      </c>
      <c r="G117">
        <f t="shared" si="3"/>
        <v>41044</v>
      </c>
    </row>
    <row r="118" spans="1:7">
      <c r="A118" s="1">
        <v>41074</v>
      </c>
      <c r="B118">
        <v>1.8</v>
      </c>
      <c r="C118">
        <v>1.7</v>
      </c>
      <c r="D118" t="str">
        <f t="shared" si="2"/>
        <v>2012/06/14 14:30:00</v>
      </c>
      <c r="F118" t="str">
        <v>2012/06/14 14:30:00</v>
      </c>
      <c r="G118">
        <f t="shared" si="3"/>
        <v>41074</v>
      </c>
    </row>
    <row r="119" spans="1:7">
      <c r="A119" s="1">
        <v>41107</v>
      </c>
      <c r="B119">
        <v>1.6</v>
      </c>
      <c r="C119">
        <v>1.7</v>
      </c>
      <c r="D119" t="str">
        <f t="shared" si="2"/>
        <v>2012/07/17 14:30:00</v>
      </c>
      <c r="F119" t="str">
        <v>2012/07/17 14:30:00</v>
      </c>
      <c r="G119">
        <f t="shared" si="3"/>
        <v>41107</v>
      </c>
    </row>
    <row r="120" spans="1:7">
      <c r="A120" s="1">
        <v>41136</v>
      </c>
      <c r="B120">
        <v>1.6</v>
      </c>
      <c r="C120">
        <v>1.4</v>
      </c>
      <c r="D120" t="str">
        <f t="shared" si="2"/>
        <v>2012/08/15 14:30:00</v>
      </c>
      <c r="F120" t="str">
        <v>2012/08/15 14:30:00</v>
      </c>
      <c r="G120">
        <f t="shared" si="3"/>
        <v>41136</v>
      </c>
    </row>
    <row r="121" spans="1:7">
      <c r="A121" s="1">
        <v>41166</v>
      </c>
      <c r="B121">
        <v>1.7</v>
      </c>
      <c r="C121">
        <v>1.7</v>
      </c>
      <c r="D121" t="str">
        <f t="shared" si="2"/>
        <v>2012/09/14 14:30:00</v>
      </c>
      <c r="F121" t="str">
        <v>2012/09/14 14:30:00</v>
      </c>
      <c r="G121">
        <f t="shared" si="3"/>
        <v>41166</v>
      </c>
    </row>
    <row r="122" spans="1:7">
      <c r="A122" s="1">
        <v>41198</v>
      </c>
      <c r="B122">
        <v>1.9</v>
      </c>
      <c r="C122">
        <v>2</v>
      </c>
      <c r="D122" t="str">
        <f t="shared" si="2"/>
        <v>2012/10/16 14:30:00</v>
      </c>
      <c r="F122" t="str">
        <v>2012/10/16 14:30:00</v>
      </c>
      <c r="G122">
        <f t="shared" si="3"/>
        <v>41198</v>
      </c>
    </row>
    <row r="123" spans="1:7">
      <c r="A123" s="1">
        <v>41228</v>
      </c>
      <c r="B123">
        <v>2.1</v>
      </c>
      <c r="C123">
        <v>2.2000000000000002</v>
      </c>
      <c r="D123" t="str">
        <f t="shared" si="2"/>
        <v>2012/11/15 14:30:00</v>
      </c>
      <c r="F123" t="str">
        <v>2012/11/15 14:30:00</v>
      </c>
      <c r="G123">
        <f t="shared" si="3"/>
        <v>41228</v>
      </c>
    </row>
    <row r="124" spans="1:7">
      <c r="A124" s="1">
        <v>41257</v>
      </c>
      <c r="B124">
        <v>1.9</v>
      </c>
      <c r="C124">
        <v>1.8</v>
      </c>
      <c r="D124" t="str">
        <f t="shared" si="2"/>
        <v>2012/12/14 14:30:00</v>
      </c>
      <c r="F124" t="str">
        <v>2012/12/14 14:30:00</v>
      </c>
      <c r="G124">
        <f t="shared" si="3"/>
        <v>41257</v>
      </c>
    </row>
    <row r="125" spans="1:7">
      <c r="A125" s="1">
        <v>41290</v>
      </c>
      <c r="B125">
        <v>1.8</v>
      </c>
      <c r="C125">
        <v>1.7</v>
      </c>
      <c r="D125" t="str">
        <f t="shared" si="2"/>
        <v>2013/01/16 14:30:00</v>
      </c>
      <c r="F125" t="str">
        <v>2013/01/16 14:30:00</v>
      </c>
      <c r="G125">
        <f t="shared" si="3"/>
        <v>41290</v>
      </c>
    </row>
    <row r="126" spans="1:7">
      <c r="A126" s="1">
        <v>41326</v>
      </c>
      <c r="B126">
        <v>1.6</v>
      </c>
      <c r="C126">
        <v>1.6</v>
      </c>
      <c r="D126" t="str">
        <f t="shared" si="2"/>
        <v>2013/02/21 14:30:00</v>
      </c>
      <c r="F126" t="str">
        <v>2013/02/21 14:30:00</v>
      </c>
      <c r="G126">
        <f t="shared" si="3"/>
        <v>41326</v>
      </c>
    </row>
    <row r="127" spans="1:7">
      <c r="A127" s="1">
        <v>41348</v>
      </c>
      <c r="B127">
        <v>1.9</v>
      </c>
      <c r="C127">
        <v>2</v>
      </c>
      <c r="D127" t="str">
        <f t="shared" si="2"/>
        <v>2013/03/15 13:30:00</v>
      </c>
      <c r="F127" t="str">
        <v>2013/03/15 13:30:00</v>
      </c>
      <c r="G127">
        <f t="shared" si="3"/>
        <v>41348</v>
      </c>
    </row>
    <row r="128" spans="1:7">
      <c r="A128" s="1">
        <v>41380</v>
      </c>
      <c r="B128">
        <v>1.6</v>
      </c>
      <c r="C128">
        <v>1.5</v>
      </c>
      <c r="D128" t="str">
        <f t="shared" si="2"/>
        <v>2013/04/16 14:30:00</v>
      </c>
      <c r="F128" t="str">
        <v>2013/04/16 14:30:00</v>
      </c>
      <c r="G128">
        <f t="shared" si="3"/>
        <v>41380</v>
      </c>
    </row>
    <row r="129" spans="1:7">
      <c r="A129" s="1">
        <v>41410</v>
      </c>
      <c r="B129">
        <v>1.3</v>
      </c>
      <c r="C129">
        <v>1.1000000000000001</v>
      </c>
      <c r="D129" t="str">
        <f t="shared" si="2"/>
        <v>2013/05/16 14:30:00</v>
      </c>
      <c r="F129" t="str">
        <v>2013/05/16 14:30:00</v>
      </c>
      <c r="G129">
        <f t="shared" si="3"/>
        <v>41410</v>
      </c>
    </row>
    <row r="130" spans="1:7">
      <c r="A130" s="1">
        <v>41443</v>
      </c>
      <c r="B130">
        <v>1.4</v>
      </c>
      <c r="C130">
        <v>1.4</v>
      </c>
      <c r="D130" t="str">
        <f t="shared" si="2"/>
        <v>2013/06/18 14:30:00</v>
      </c>
      <c r="F130" t="str">
        <v>2013/06/18 14:30:00</v>
      </c>
      <c r="G130">
        <f t="shared" si="3"/>
        <v>41443</v>
      </c>
    </row>
    <row r="131" spans="1:7">
      <c r="A131" s="1">
        <v>41471</v>
      </c>
      <c r="B131">
        <v>1.6</v>
      </c>
      <c r="C131">
        <v>1.8</v>
      </c>
      <c r="D131" t="str">
        <f t="shared" ref="D131:D194" si="4">_xlfn.XLOOKUP(A131,$G:$G,$F:$F,"")</f>
        <v>2013/07/16 14:30:00</v>
      </c>
      <c r="F131" t="str">
        <v>2013/07/16 14:30:00</v>
      </c>
      <c r="G131">
        <f t="shared" ref="G131:G194" si="5">INT(F131)</f>
        <v>41471</v>
      </c>
    </row>
    <row r="132" spans="1:7">
      <c r="A132" s="1">
        <v>41501</v>
      </c>
      <c r="B132">
        <v>2</v>
      </c>
      <c r="C132">
        <v>2</v>
      </c>
      <c r="D132" t="str">
        <f t="shared" si="4"/>
        <v>2013/08/15 14:30:00</v>
      </c>
      <c r="F132" t="str">
        <v>2013/08/15 14:30:00</v>
      </c>
      <c r="G132">
        <f t="shared" si="5"/>
        <v>41501</v>
      </c>
    </row>
    <row r="133" spans="1:7">
      <c r="A133" s="1">
        <v>41534</v>
      </c>
      <c r="B133">
        <v>1.6</v>
      </c>
      <c r="C133">
        <v>1.5</v>
      </c>
      <c r="D133" t="str">
        <f t="shared" si="4"/>
        <v>2013/09/17 14:30:00</v>
      </c>
      <c r="F133" t="str">
        <v>2013/09/17 14:30:00</v>
      </c>
      <c r="G133">
        <f t="shared" si="5"/>
        <v>41534</v>
      </c>
    </row>
    <row r="134" spans="1:7">
      <c r="A134" s="1">
        <v>41577</v>
      </c>
      <c r="B134">
        <v>1.2</v>
      </c>
      <c r="C134">
        <v>1.2</v>
      </c>
      <c r="D134" t="str">
        <f t="shared" si="4"/>
        <v>2013/10/30 13:30:00</v>
      </c>
      <c r="F134" t="str">
        <v>2013/10/30 13:30:00</v>
      </c>
      <c r="G134">
        <f t="shared" si="5"/>
        <v>41577</v>
      </c>
    </row>
    <row r="135" spans="1:7">
      <c r="A135" s="1">
        <v>41598</v>
      </c>
      <c r="B135">
        <v>1</v>
      </c>
      <c r="C135">
        <v>1</v>
      </c>
      <c r="D135" t="str">
        <f t="shared" si="4"/>
        <v>2013/11/20 14:30:00</v>
      </c>
      <c r="F135" t="str">
        <v>2013/11/20 14:30:00</v>
      </c>
      <c r="G135">
        <f t="shared" si="5"/>
        <v>41598</v>
      </c>
    </row>
    <row r="136" spans="1:7">
      <c r="A136" s="1">
        <v>41625</v>
      </c>
      <c r="B136">
        <v>1.3</v>
      </c>
      <c r="C136">
        <v>1.2</v>
      </c>
      <c r="D136" t="str">
        <f t="shared" si="4"/>
        <v>2013/12/17 14:30:00</v>
      </c>
      <c r="F136" t="str">
        <v>2013/12/17 14:30:00</v>
      </c>
      <c r="G136">
        <f t="shared" si="5"/>
        <v>41625</v>
      </c>
    </row>
    <row r="137" spans="1:7">
      <c r="A137" s="1">
        <v>41655</v>
      </c>
      <c r="B137">
        <v>1.5</v>
      </c>
      <c r="C137">
        <v>1.5</v>
      </c>
      <c r="D137" t="str">
        <f t="shared" si="4"/>
        <v>2014/01/16 14:30:00</v>
      </c>
      <c r="F137" t="str">
        <v>2014/01/16 14:30:00</v>
      </c>
      <c r="G137">
        <f t="shared" si="5"/>
        <v>41655</v>
      </c>
    </row>
    <row r="138" spans="1:7">
      <c r="A138" s="1">
        <v>41690</v>
      </c>
      <c r="B138">
        <v>1.6</v>
      </c>
      <c r="C138">
        <v>1.6</v>
      </c>
      <c r="D138" t="str">
        <f t="shared" si="4"/>
        <v>2014/02/20 14:30:00</v>
      </c>
      <c r="F138" t="str">
        <v>2014/02/20 14:30:00</v>
      </c>
      <c r="G138">
        <f t="shared" si="5"/>
        <v>41690</v>
      </c>
    </row>
    <row r="139" spans="1:7">
      <c r="A139" s="1">
        <v>41716</v>
      </c>
      <c r="B139">
        <v>1.2</v>
      </c>
      <c r="C139">
        <v>1.1000000000000001</v>
      </c>
      <c r="D139" t="str">
        <f t="shared" si="4"/>
        <v>2014/03/18 13:30:00</v>
      </c>
      <c r="F139" t="str">
        <v>2014/03/18 13:30:00</v>
      </c>
      <c r="G139">
        <f t="shared" si="5"/>
        <v>41716</v>
      </c>
    </row>
    <row r="140" spans="1:7">
      <c r="A140" s="1">
        <v>41744</v>
      </c>
      <c r="B140">
        <v>1.4</v>
      </c>
      <c r="C140">
        <v>1.5</v>
      </c>
      <c r="D140" t="str">
        <f t="shared" si="4"/>
        <v>2014/04/15 14:30:00</v>
      </c>
      <c r="F140" t="str">
        <v>2014/04/15 14:30:00</v>
      </c>
      <c r="G140">
        <f t="shared" si="5"/>
        <v>41744</v>
      </c>
    </row>
    <row r="141" spans="1:7">
      <c r="A141" s="1">
        <v>41774</v>
      </c>
      <c r="B141">
        <v>2</v>
      </c>
      <c r="C141">
        <v>2</v>
      </c>
      <c r="D141" t="str">
        <f t="shared" si="4"/>
        <v>2014/05/15 14:30:00</v>
      </c>
      <c r="F141" t="str">
        <v>2014/05/15 14:30:00</v>
      </c>
      <c r="G141">
        <f t="shared" si="5"/>
        <v>41774</v>
      </c>
    </row>
    <row r="142" spans="1:7">
      <c r="A142" s="1">
        <v>41807</v>
      </c>
      <c r="B142">
        <v>2</v>
      </c>
      <c r="C142">
        <v>2.1</v>
      </c>
      <c r="D142" t="str">
        <f t="shared" si="4"/>
        <v>2014/06/17 14:30:00</v>
      </c>
      <c r="F142" t="str">
        <v>2014/06/17 14:30:00</v>
      </c>
      <c r="G142">
        <f t="shared" si="5"/>
        <v>41807</v>
      </c>
    </row>
    <row r="143" spans="1:7">
      <c r="A143" s="1">
        <v>41842</v>
      </c>
      <c r="B143">
        <v>2.1</v>
      </c>
      <c r="C143">
        <v>2.1</v>
      </c>
      <c r="D143" t="str">
        <f t="shared" si="4"/>
        <v>2014/07/22 14:30:00</v>
      </c>
      <c r="F143" t="str">
        <v>2014/07/22 14:30:00</v>
      </c>
      <c r="G143">
        <f t="shared" si="5"/>
        <v>41842</v>
      </c>
    </row>
    <row r="144" spans="1:7">
      <c r="A144" s="1">
        <v>41870</v>
      </c>
      <c r="B144">
        <v>2</v>
      </c>
      <c r="C144">
        <v>2</v>
      </c>
      <c r="D144" t="str">
        <f t="shared" si="4"/>
        <v>2014/08/19 14:30:00</v>
      </c>
      <c r="F144" t="str">
        <v>2014/08/19 14:30:00</v>
      </c>
      <c r="G144">
        <f t="shared" si="5"/>
        <v>41870</v>
      </c>
    </row>
    <row r="145" spans="1:7">
      <c r="A145" s="1">
        <v>41899</v>
      </c>
      <c r="B145">
        <v>1.9</v>
      </c>
      <c r="C145">
        <v>1.7</v>
      </c>
      <c r="D145" t="str">
        <f t="shared" si="4"/>
        <v>2014/09/17 14:30:00</v>
      </c>
      <c r="F145" t="str">
        <v>2014/09/17 14:30:00</v>
      </c>
      <c r="G145">
        <f t="shared" si="5"/>
        <v>41899</v>
      </c>
    </row>
    <row r="146" spans="1:7">
      <c r="A146" s="1">
        <v>41934</v>
      </c>
      <c r="B146">
        <v>1.6</v>
      </c>
      <c r="C146">
        <v>1.7</v>
      </c>
      <c r="D146" t="str">
        <f t="shared" si="4"/>
        <v>2014/10/22 14:30:00</v>
      </c>
      <c r="F146" t="str">
        <v>2014/10/22 14:30:00</v>
      </c>
      <c r="G146">
        <f t="shared" si="5"/>
        <v>41934</v>
      </c>
    </row>
    <row r="147" spans="1:7">
      <c r="A147" s="1">
        <v>41963</v>
      </c>
      <c r="B147">
        <v>1.6</v>
      </c>
      <c r="C147">
        <v>1.7</v>
      </c>
      <c r="D147" t="str">
        <f t="shared" si="4"/>
        <v>2014/11/20 14:30:00</v>
      </c>
      <c r="F147" t="str">
        <v>2014/11/20 14:30:00</v>
      </c>
      <c r="G147">
        <f t="shared" si="5"/>
        <v>41963</v>
      </c>
    </row>
    <row r="148" spans="1:7">
      <c r="A148" s="1">
        <v>41990</v>
      </c>
      <c r="B148">
        <v>1.4</v>
      </c>
      <c r="C148">
        <v>1.3</v>
      </c>
      <c r="D148" t="str">
        <f t="shared" si="4"/>
        <v>2014/12/17 14:30:00</v>
      </c>
      <c r="F148" t="str">
        <v>2014/12/17 14:30:00</v>
      </c>
      <c r="G148">
        <f t="shared" si="5"/>
        <v>41990</v>
      </c>
    </row>
    <row r="149" spans="1:7">
      <c r="A149" s="1">
        <v>42020</v>
      </c>
      <c r="B149">
        <v>0.7</v>
      </c>
      <c r="C149">
        <v>0.8</v>
      </c>
      <c r="D149" t="str">
        <f t="shared" si="4"/>
        <v>2015/01/16 14:30:00</v>
      </c>
      <c r="F149" t="str">
        <v>2015/01/16 14:30:00</v>
      </c>
      <c r="G149">
        <f t="shared" si="5"/>
        <v>42020</v>
      </c>
    </row>
    <row r="150" spans="1:7">
      <c r="A150" s="1">
        <v>42061</v>
      </c>
      <c r="B150">
        <v>-0.1</v>
      </c>
      <c r="C150">
        <v>-0.1</v>
      </c>
      <c r="D150" t="str">
        <f t="shared" si="4"/>
        <v>2015/02/26 14:30:00</v>
      </c>
      <c r="F150" t="str">
        <v>2015/02/26 14:30:00</v>
      </c>
      <c r="G150">
        <f t="shared" si="5"/>
        <v>42061</v>
      </c>
    </row>
    <row r="151" spans="1:7">
      <c r="A151" s="1">
        <v>42087</v>
      </c>
      <c r="B151">
        <v>-0.1</v>
      </c>
      <c r="C151">
        <v>0</v>
      </c>
      <c r="D151" t="str">
        <f t="shared" si="4"/>
        <v>2015/03/24 13:30:00</v>
      </c>
      <c r="F151" t="str">
        <v>2015/03/24 13:30:00</v>
      </c>
      <c r="G151">
        <f t="shared" si="5"/>
        <v>42087</v>
      </c>
    </row>
    <row r="152" spans="1:7">
      <c r="A152" s="1">
        <v>42111</v>
      </c>
      <c r="B152">
        <v>0</v>
      </c>
      <c r="C152">
        <v>-0.1</v>
      </c>
      <c r="D152" t="str">
        <f t="shared" si="4"/>
        <v>2015/04/17 14:30:00</v>
      </c>
      <c r="F152" t="str">
        <v>2015/04/17 14:30:00</v>
      </c>
      <c r="G152">
        <f t="shared" si="5"/>
        <v>42111</v>
      </c>
    </row>
    <row r="153" spans="1:7">
      <c r="A153" s="1">
        <v>42146</v>
      </c>
      <c r="B153">
        <v>-0.2</v>
      </c>
      <c r="C153">
        <v>-0.2</v>
      </c>
      <c r="D153" t="str">
        <f t="shared" si="4"/>
        <v>2015/05/22 14:30:00</v>
      </c>
      <c r="F153" t="str">
        <v>2015/05/22 14:30:00</v>
      </c>
      <c r="G153">
        <f t="shared" si="5"/>
        <v>42146</v>
      </c>
    </row>
    <row r="154" spans="1:7">
      <c r="A154" s="1">
        <v>42173</v>
      </c>
      <c r="B154">
        <v>0.1</v>
      </c>
      <c r="C154">
        <v>0</v>
      </c>
      <c r="D154" t="str">
        <f t="shared" si="4"/>
        <v>2015/06/18 14:30:00</v>
      </c>
      <c r="F154" t="str">
        <v>2015/06/18 14:30:00</v>
      </c>
      <c r="G154">
        <f t="shared" si="5"/>
        <v>42173</v>
      </c>
    </row>
    <row r="155" spans="1:7">
      <c r="A155" s="1">
        <v>42202</v>
      </c>
      <c r="B155">
        <v>0.1</v>
      </c>
      <c r="C155">
        <v>0.1</v>
      </c>
      <c r="D155" t="str">
        <f t="shared" si="4"/>
        <v>2015/07/17 14:30:00</v>
      </c>
      <c r="F155" t="str">
        <v>2015/07/17 14:30:00</v>
      </c>
      <c r="G155">
        <f t="shared" si="5"/>
        <v>42202</v>
      </c>
    </row>
    <row r="156" spans="1:7">
      <c r="A156" s="1">
        <v>42235</v>
      </c>
      <c r="B156">
        <v>0.2</v>
      </c>
      <c r="C156">
        <v>0.2</v>
      </c>
      <c r="D156" t="str">
        <f t="shared" si="4"/>
        <v>2015/08/19 14:30:00</v>
      </c>
      <c r="F156" t="str">
        <v>2015/08/19 14:30:00</v>
      </c>
      <c r="G156">
        <f t="shared" si="5"/>
        <v>42235</v>
      </c>
    </row>
    <row r="157" spans="1:7">
      <c r="A157" s="1">
        <v>42263</v>
      </c>
      <c r="B157">
        <v>0.2</v>
      </c>
      <c r="C157">
        <v>0.2</v>
      </c>
      <c r="D157" t="str">
        <f t="shared" si="4"/>
        <v>2015/09/16 14:30:00</v>
      </c>
      <c r="F157" t="str">
        <v>2015/09/16 14:30:00</v>
      </c>
      <c r="G157">
        <f t="shared" si="5"/>
        <v>42263</v>
      </c>
    </row>
    <row r="158" spans="1:7">
      <c r="A158" s="1">
        <v>42292</v>
      </c>
      <c r="B158">
        <v>-0.1</v>
      </c>
      <c r="C158">
        <v>0</v>
      </c>
      <c r="D158" t="str">
        <f t="shared" si="4"/>
        <v>2015/10/15 14:30:00</v>
      </c>
      <c r="F158" t="str">
        <v>2015/10/15 14:30:00</v>
      </c>
      <c r="G158">
        <f t="shared" si="5"/>
        <v>42292</v>
      </c>
    </row>
    <row r="159" spans="1:7">
      <c r="A159" s="1">
        <v>42325</v>
      </c>
      <c r="B159">
        <v>0.1</v>
      </c>
      <c r="C159">
        <v>0.2</v>
      </c>
      <c r="D159" t="str">
        <f t="shared" si="4"/>
        <v>2015/11/17 14:30:00</v>
      </c>
      <c r="F159" t="str">
        <v>2015/11/17 14:30:00</v>
      </c>
      <c r="G159">
        <f t="shared" si="5"/>
        <v>42325</v>
      </c>
    </row>
    <row r="160" spans="1:7">
      <c r="A160" s="1">
        <v>42353</v>
      </c>
      <c r="B160">
        <v>0.4</v>
      </c>
      <c r="C160">
        <v>0.5</v>
      </c>
      <c r="D160" t="str">
        <f t="shared" si="4"/>
        <v>2015/12/15 14:30:00</v>
      </c>
      <c r="F160" t="str">
        <v>2015/12/15 14:30:00</v>
      </c>
      <c r="G160">
        <f t="shared" si="5"/>
        <v>42353</v>
      </c>
    </row>
    <row r="161" spans="1:7">
      <c r="A161" s="1">
        <v>42389</v>
      </c>
      <c r="B161">
        <v>0.8</v>
      </c>
      <c r="C161">
        <v>0.7</v>
      </c>
      <c r="D161" t="str">
        <f t="shared" si="4"/>
        <v>2016/01/20 14:30:00</v>
      </c>
      <c r="F161" t="str">
        <v>2016/01/20 14:30:00</v>
      </c>
      <c r="G161">
        <f t="shared" si="5"/>
        <v>42389</v>
      </c>
    </row>
    <row r="162" spans="1:7">
      <c r="A162" s="1">
        <v>42419</v>
      </c>
      <c r="B162">
        <v>1.3</v>
      </c>
      <c r="C162">
        <v>1.4</v>
      </c>
      <c r="D162" t="str">
        <f t="shared" si="4"/>
        <v>2016/02/19 14:30:00</v>
      </c>
      <c r="F162" t="str">
        <v>2016/02/19 14:30:00</v>
      </c>
      <c r="G162">
        <f t="shared" si="5"/>
        <v>42419</v>
      </c>
    </row>
    <row r="163" spans="1:7">
      <c r="A163" s="1">
        <v>42445</v>
      </c>
      <c r="B163">
        <v>0.9</v>
      </c>
      <c r="C163">
        <v>1</v>
      </c>
      <c r="D163" t="str">
        <f t="shared" si="4"/>
        <v>2016/03/16 13:30:00</v>
      </c>
      <c r="F163" t="str">
        <v>2016/03/16 13:30:00</v>
      </c>
      <c r="G163">
        <f t="shared" si="5"/>
        <v>42445</v>
      </c>
    </row>
    <row r="164" spans="1:7">
      <c r="A164" s="1">
        <v>42474</v>
      </c>
      <c r="B164">
        <v>1</v>
      </c>
      <c r="C164">
        <v>0.9</v>
      </c>
      <c r="D164" t="str">
        <f t="shared" si="4"/>
        <v>2016/04/14 14:30:00</v>
      </c>
      <c r="F164" t="str">
        <v>2016/04/14 14:30:00</v>
      </c>
      <c r="G164">
        <f t="shared" si="5"/>
        <v>42474</v>
      </c>
    </row>
    <row r="165" spans="1:7">
      <c r="A165" s="1">
        <v>42507</v>
      </c>
      <c r="B165">
        <v>1.1000000000000001</v>
      </c>
      <c r="C165">
        <v>1.1000000000000001</v>
      </c>
      <c r="D165" t="str">
        <f t="shared" si="4"/>
        <v>2016/05/17 14:30:00</v>
      </c>
      <c r="F165" t="str">
        <v>2016/05/17 14:30:00</v>
      </c>
      <c r="G165">
        <f t="shared" si="5"/>
        <v>42507</v>
      </c>
    </row>
    <row r="166" spans="1:7">
      <c r="A166" s="1">
        <v>42537</v>
      </c>
      <c r="B166">
        <v>1.1000000000000001</v>
      </c>
      <c r="C166">
        <v>1</v>
      </c>
      <c r="D166" t="str">
        <f t="shared" si="4"/>
        <v>2016/06/16 14:30:00</v>
      </c>
      <c r="F166" t="str">
        <v>2016/06/16 14:30:00</v>
      </c>
      <c r="G166">
        <f t="shared" si="5"/>
        <v>42537</v>
      </c>
    </row>
    <row r="167" spans="1:7">
      <c r="A167" s="1">
        <v>42566</v>
      </c>
      <c r="B167">
        <v>1.1000000000000001</v>
      </c>
      <c r="C167">
        <v>1</v>
      </c>
      <c r="D167" t="str">
        <f t="shared" si="4"/>
        <v>2016/07/15 14:30:00</v>
      </c>
      <c r="F167" t="str">
        <v>2016/07/15 14:30:00</v>
      </c>
      <c r="G167">
        <f t="shared" si="5"/>
        <v>42566</v>
      </c>
    </row>
    <row r="168" spans="1:7">
      <c r="A168" s="1">
        <v>42598</v>
      </c>
      <c r="B168">
        <v>0.9</v>
      </c>
      <c r="C168">
        <v>0.8</v>
      </c>
      <c r="D168" t="str">
        <f t="shared" si="4"/>
        <v>2016/08/16 14:30:00</v>
      </c>
      <c r="F168" t="str">
        <v>2016/08/16 14:30:00</v>
      </c>
      <c r="G168">
        <f t="shared" si="5"/>
        <v>42598</v>
      </c>
    </row>
    <row r="169" spans="1:7">
      <c r="A169" s="1">
        <v>42629</v>
      </c>
      <c r="B169">
        <v>1</v>
      </c>
      <c r="C169">
        <v>1.1000000000000001</v>
      </c>
      <c r="D169" t="str">
        <f t="shared" si="4"/>
        <v>2016/09/16 14:30:00</v>
      </c>
      <c r="F169" t="str">
        <v>2016/09/16 14:30:00</v>
      </c>
      <c r="G169">
        <f t="shared" si="5"/>
        <v>42629</v>
      </c>
    </row>
    <row r="170" spans="1:7">
      <c r="A170" s="1">
        <v>42661</v>
      </c>
      <c r="B170">
        <v>1.5</v>
      </c>
      <c r="C170">
        <v>1.5</v>
      </c>
      <c r="D170" t="str">
        <f t="shared" si="4"/>
        <v>2016/10/18 14:30:00</v>
      </c>
      <c r="F170" t="str">
        <v>2016/10/18 14:30:00</v>
      </c>
      <c r="G170">
        <f t="shared" si="5"/>
        <v>42661</v>
      </c>
    </row>
    <row r="171" spans="1:7">
      <c r="A171" s="1">
        <v>42691</v>
      </c>
      <c r="B171">
        <v>1.6</v>
      </c>
      <c r="C171">
        <v>1.6</v>
      </c>
      <c r="D171" t="str">
        <f t="shared" si="4"/>
        <v>2016/11/17 14:30:00</v>
      </c>
      <c r="F171" t="str">
        <v>2016/11/17 14:30:00</v>
      </c>
      <c r="G171">
        <f t="shared" si="5"/>
        <v>42691</v>
      </c>
    </row>
    <row r="172" spans="1:7">
      <c r="A172" s="1">
        <v>42719</v>
      </c>
      <c r="B172">
        <v>1.7</v>
      </c>
      <c r="C172">
        <v>1.7</v>
      </c>
      <c r="D172" t="str">
        <f t="shared" si="4"/>
        <v>2016/12/15 14:30:00</v>
      </c>
      <c r="F172" t="str">
        <v>2016/12/15 14:30:00</v>
      </c>
      <c r="G172">
        <f t="shared" si="5"/>
        <v>42719</v>
      </c>
    </row>
    <row r="173" spans="1:7">
      <c r="A173" s="1">
        <v>42753</v>
      </c>
      <c r="B173">
        <v>2.1</v>
      </c>
      <c r="C173">
        <v>2.1</v>
      </c>
      <c r="D173" t="str">
        <f t="shared" si="4"/>
        <v>2017/01/18 14:30:00</v>
      </c>
      <c r="F173" t="str">
        <v>2017/01/18 14:30:00</v>
      </c>
      <c r="G173">
        <f t="shared" si="5"/>
        <v>42753</v>
      </c>
    </row>
    <row r="174" spans="1:7">
      <c r="A174" s="1">
        <v>42781</v>
      </c>
      <c r="B174">
        <v>2.4</v>
      </c>
      <c r="C174">
        <v>2.5</v>
      </c>
      <c r="D174" t="str">
        <f t="shared" si="4"/>
        <v>2017/02/15 14:30:00</v>
      </c>
      <c r="F174" t="str">
        <v>2017/02/15 14:30:00</v>
      </c>
      <c r="G174">
        <f t="shared" si="5"/>
        <v>42781</v>
      </c>
    </row>
    <row r="175" spans="1:7">
      <c r="A175" s="1">
        <v>42809</v>
      </c>
      <c r="B175">
        <v>2.7</v>
      </c>
      <c r="C175">
        <v>2.7</v>
      </c>
      <c r="D175" t="str">
        <f t="shared" si="4"/>
        <v>2017/03/15 13:30:00</v>
      </c>
      <c r="F175" t="str">
        <v>2017/03/15 13:30:00</v>
      </c>
      <c r="G175">
        <f t="shared" si="5"/>
        <v>42809</v>
      </c>
    </row>
    <row r="176" spans="1:7">
      <c r="A176" s="1">
        <v>42839</v>
      </c>
      <c r="B176">
        <v>2.6</v>
      </c>
      <c r="C176">
        <v>2.4</v>
      </c>
      <c r="D176" t="str">
        <f t="shared" si="4"/>
        <v>2017/04/14 14:30:00</v>
      </c>
      <c r="F176" t="str">
        <v>2017/04/14 14:30:00</v>
      </c>
      <c r="G176">
        <f t="shared" si="5"/>
        <v>42839</v>
      </c>
    </row>
    <row r="177" spans="1:7">
      <c r="A177" s="1">
        <v>42867</v>
      </c>
      <c r="B177">
        <v>2.2999999999999998</v>
      </c>
      <c r="C177">
        <v>2.2000000000000002</v>
      </c>
      <c r="D177" t="str">
        <f t="shared" si="4"/>
        <v>2017/05/12 14:30:00</v>
      </c>
      <c r="F177" t="str">
        <v>2017/05/12 14:30:00</v>
      </c>
      <c r="G177">
        <f t="shared" si="5"/>
        <v>42867</v>
      </c>
    </row>
    <row r="178" spans="1:7">
      <c r="A178" s="1">
        <v>42900</v>
      </c>
      <c r="B178">
        <v>2</v>
      </c>
      <c r="C178">
        <v>1.9</v>
      </c>
      <c r="D178" t="str">
        <f t="shared" si="4"/>
        <v>2017/06/14 14:30:00</v>
      </c>
      <c r="F178" t="str">
        <v>2017/06/14 14:30:00</v>
      </c>
      <c r="G178">
        <f t="shared" si="5"/>
        <v>42900</v>
      </c>
    </row>
    <row r="179" spans="1:7">
      <c r="A179" s="1">
        <v>42930</v>
      </c>
      <c r="B179">
        <v>1.7</v>
      </c>
      <c r="C179">
        <v>1.6</v>
      </c>
      <c r="D179" t="str">
        <f t="shared" si="4"/>
        <v>2017/07/14 14:30:00</v>
      </c>
      <c r="F179" t="str">
        <v>2017/07/14 14:30:00</v>
      </c>
      <c r="G179">
        <f t="shared" si="5"/>
        <v>42930</v>
      </c>
    </row>
    <row r="180" spans="1:7">
      <c r="A180" s="1">
        <v>42958</v>
      </c>
      <c r="B180">
        <v>1.8</v>
      </c>
      <c r="C180">
        <v>1.7</v>
      </c>
      <c r="D180" t="str">
        <f t="shared" si="4"/>
        <v>2017/08/11 14:30:00</v>
      </c>
      <c r="F180" t="str">
        <v>2017/08/11 14:30:00</v>
      </c>
      <c r="G180">
        <f t="shared" si="5"/>
        <v>42958</v>
      </c>
    </row>
    <row r="181" spans="1:7">
      <c r="A181" s="1">
        <v>42992</v>
      </c>
      <c r="B181">
        <v>1.8</v>
      </c>
      <c r="C181">
        <v>1.9</v>
      </c>
      <c r="D181" t="str">
        <f t="shared" si="4"/>
        <v>2017/09/14 14:30:00</v>
      </c>
      <c r="F181" t="str">
        <v>2017/09/14 14:30:00</v>
      </c>
      <c r="G181">
        <f t="shared" si="5"/>
        <v>42992</v>
      </c>
    </row>
    <row r="182" spans="1:7">
      <c r="A182" s="1">
        <v>43021</v>
      </c>
      <c r="B182">
        <v>2.2999999999999998</v>
      </c>
      <c r="C182">
        <v>2.2000000000000002</v>
      </c>
      <c r="D182" t="str">
        <f t="shared" si="4"/>
        <v>2017/10/13 14:30:00</v>
      </c>
      <c r="F182" t="str">
        <v>2017/10/13 14:30:00</v>
      </c>
      <c r="G182">
        <f t="shared" si="5"/>
        <v>43021</v>
      </c>
    </row>
    <row r="183" spans="1:7">
      <c r="A183" s="1">
        <v>43054</v>
      </c>
      <c r="B183">
        <v>2</v>
      </c>
      <c r="C183">
        <v>2</v>
      </c>
      <c r="D183" t="str">
        <f t="shared" si="4"/>
        <v>2017/11/15 14:30:00</v>
      </c>
      <c r="F183" t="str">
        <v>2017/11/15 14:30:00</v>
      </c>
      <c r="G183">
        <f t="shared" si="5"/>
        <v>43054</v>
      </c>
    </row>
    <row r="184" spans="1:7">
      <c r="A184" s="1">
        <v>43082</v>
      </c>
      <c r="B184">
        <v>2.2000000000000002</v>
      </c>
      <c r="C184">
        <v>2.2000000000000002</v>
      </c>
      <c r="D184" t="str">
        <f t="shared" si="4"/>
        <v>2017/12/13 14:30:00</v>
      </c>
      <c r="F184" t="str">
        <v>2017/12/13 14:30:00</v>
      </c>
      <c r="G184">
        <f t="shared" si="5"/>
        <v>43082</v>
      </c>
    </row>
    <row r="185" spans="1:7">
      <c r="A185" s="1">
        <v>43112</v>
      </c>
      <c r="B185">
        <v>2.1</v>
      </c>
      <c r="C185">
        <v>2.1</v>
      </c>
      <c r="D185" t="str">
        <f t="shared" si="4"/>
        <v>2018/01/12 14:30:00</v>
      </c>
      <c r="F185" t="str">
        <v>2018/01/12 14:30:00</v>
      </c>
      <c r="G185">
        <f t="shared" si="5"/>
        <v>43112</v>
      </c>
    </row>
    <row r="186" spans="1:7">
      <c r="A186" s="1">
        <v>43145</v>
      </c>
      <c r="B186">
        <v>1.9</v>
      </c>
      <c r="C186">
        <v>2.1</v>
      </c>
      <c r="D186" t="str">
        <f t="shared" si="4"/>
        <v>2018/02/14 14:30:00</v>
      </c>
      <c r="F186" t="str">
        <v>2018/02/14 14:30:00</v>
      </c>
      <c r="G186">
        <f t="shared" si="5"/>
        <v>43145</v>
      </c>
    </row>
    <row r="187" spans="1:7">
      <c r="A187" s="1">
        <v>43172</v>
      </c>
      <c r="B187">
        <v>2.2000000000000002</v>
      </c>
      <c r="C187">
        <v>2.2000000000000002</v>
      </c>
      <c r="D187" t="str">
        <f t="shared" si="4"/>
        <v>2018/03/13 13:30:00</v>
      </c>
      <c r="F187" t="str">
        <v>2018/03/13 13:30:00</v>
      </c>
      <c r="G187">
        <f t="shared" si="5"/>
        <v>43172</v>
      </c>
    </row>
    <row r="188" spans="1:7">
      <c r="A188" s="1">
        <v>43201</v>
      </c>
      <c r="B188">
        <v>2.4</v>
      </c>
      <c r="C188">
        <v>2.4</v>
      </c>
      <c r="D188" t="str">
        <f t="shared" si="4"/>
        <v>2018/04/11 14:30:00</v>
      </c>
      <c r="F188" t="str">
        <v>2018/04/11 14:30:00</v>
      </c>
      <c r="G188">
        <f t="shared" si="5"/>
        <v>43201</v>
      </c>
    </row>
    <row r="189" spans="1:7">
      <c r="A189" s="1">
        <v>43230</v>
      </c>
      <c r="B189">
        <v>2.5</v>
      </c>
      <c r="C189">
        <v>2.5</v>
      </c>
      <c r="D189" t="str">
        <f t="shared" si="4"/>
        <v>2018/05/10 14:30:00</v>
      </c>
      <c r="F189" t="str">
        <v>2018/05/10 14:30:00</v>
      </c>
      <c r="G189">
        <f t="shared" si="5"/>
        <v>43230</v>
      </c>
    </row>
    <row r="190" spans="1:7">
      <c r="A190" s="1">
        <v>43263</v>
      </c>
      <c r="B190">
        <v>2.8</v>
      </c>
      <c r="C190">
        <v>2.8</v>
      </c>
      <c r="D190" t="str">
        <f t="shared" si="4"/>
        <v>2018/06/12 14:30:00</v>
      </c>
      <c r="F190" t="str">
        <v>2018/06/12 14:30:00</v>
      </c>
      <c r="G190">
        <f t="shared" si="5"/>
        <v>43263</v>
      </c>
    </row>
    <row r="191" spans="1:7">
      <c r="A191" s="1">
        <v>43293</v>
      </c>
      <c r="B191">
        <v>2.9</v>
      </c>
      <c r="C191">
        <v>2.9</v>
      </c>
      <c r="D191" t="str">
        <f t="shared" si="4"/>
        <v>2018/07/12 14:30:00</v>
      </c>
      <c r="F191" t="str">
        <v>2018/07/12 14:30:00</v>
      </c>
      <c r="G191">
        <f t="shared" si="5"/>
        <v>43293</v>
      </c>
    </row>
    <row r="192" spans="1:7">
      <c r="A192" s="1">
        <v>43322</v>
      </c>
      <c r="B192">
        <v>2.9</v>
      </c>
      <c r="C192">
        <v>2.9</v>
      </c>
      <c r="D192" t="str">
        <f t="shared" si="4"/>
        <v>2018/08/10 14:30:00</v>
      </c>
      <c r="F192" t="str">
        <v>2018/08/10 14:30:00</v>
      </c>
      <c r="G192">
        <f t="shared" si="5"/>
        <v>43322</v>
      </c>
    </row>
    <row r="193" spans="1:7">
      <c r="A193" s="1">
        <v>43356</v>
      </c>
      <c r="B193">
        <v>2.8</v>
      </c>
      <c r="C193">
        <v>2.7</v>
      </c>
      <c r="D193" t="str">
        <f t="shared" si="4"/>
        <v>2018/09/13 14:30:00</v>
      </c>
      <c r="F193" t="str">
        <v>2018/09/13 14:30:00</v>
      </c>
      <c r="G193">
        <f t="shared" si="5"/>
        <v>43356</v>
      </c>
    </row>
    <row r="194" spans="1:7">
      <c r="A194" s="1">
        <v>43384</v>
      </c>
      <c r="B194">
        <v>2.4</v>
      </c>
      <c r="C194">
        <v>2.2999999999999998</v>
      </c>
      <c r="D194" t="str">
        <f t="shared" si="4"/>
        <v>2018/10/11 14:30:00</v>
      </c>
      <c r="F194" t="str">
        <v>2018/10/11 14:30:00</v>
      </c>
      <c r="G194">
        <f t="shared" si="5"/>
        <v>43384</v>
      </c>
    </row>
    <row r="195" spans="1:7">
      <c r="A195" s="1">
        <v>43418</v>
      </c>
      <c r="B195">
        <v>2.5</v>
      </c>
      <c r="C195">
        <v>2.5</v>
      </c>
      <c r="D195" t="str">
        <f t="shared" ref="D195:D258" si="6">_xlfn.XLOOKUP(A195,$G:$G,$F:$F,"")</f>
        <v>2018/11/14 14:30:00</v>
      </c>
      <c r="F195" t="str">
        <v>2018/11/14 14:30:00</v>
      </c>
      <c r="G195">
        <f t="shared" ref="G195:G258" si="7">INT(F195)</f>
        <v>43418</v>
      </c>
    </row>
    <row r="196" spans="1:7">
      <c r="A196" s="1">
        <v>43446</v>
      </c>
      <c r="B196">
        <v>2.2000000000000002</v>
      </c>
      <c r="C196">
        <v>2.2000000000000002</v>
      </c>
      <c r="D196" t="str">
        <f t="shared" si="6"/>
        <v>2018/12/12 14:30:00</v>
      </c>
      <c r="F196" t="str">
        <v>2018/12/12 14:30:00</v>
      </c>
      <c r="G196">
        <f t="shared" si="7"/>
        <v>43446</v>
      </c>
    </row>
    <row r="197" spans="1:7">
      <c r="A197" s="1">
        <v>43476</v>
      </c>
      <c r="B197">
        <v>1.9</v>
      </c>
      <c r="C197">
        <v>1.9</v>
      </c>
      <c r="D197" t="str">
        <f t="shared" si="6"/>
        <v>2019/01/11 14:30:00</v>
      </c>
      <c r="F197" t="str">
        <v>2019/01/11 14:30:00</v>
      </c>
      <c r="G197">
        <f t="shared" si="7"/>
        <v>43476</v>
      </c>
    </row>
    <row r="198" spans="1:7">
      <c r="A198" s="1">
        <v>43509</v>
      </c>
      <c r="B198">
        <v>1.5</v>
      </c>
      <c r="C198">
        <v>1.6</v>
      </c>
      <c r="D198" t="str">
        <f t="shared" si="6"/>
        <v>2019/02/13 14:30:00</v>
      </c>
      <c r="F198" t="str">
        <v>2019/02/13 14:30:00</v>
      </c>
      <c r="G198">
        <f t="shared" si="7"/>
        <v>43509</v>
      </c>
    </row>
    <row r="199" spans="1:7">
      <c r="A199" s="1">
        <v>43536</v>
      </c>
      <c r="B199">
        <v>1.6</v>
      </c>
      <c r="C199">
        <v>1.5</v>
      </c>
      <c r="D199" t="str">
        <f t="shared" si="6"/>
        <v>2019/03/12 13:30:00</v>
      </c>
      <c r="F199" t="str">
        <v>2019/03/12 13:30:00</v>
      </c>
      <c r="G199">
        <f t="shared" si="7"/>
        <v>43536</v>
      </c>
    </row>
    <row r="200" spans="1:7">
      <c r="A200" s="1">
        <v>43565</v>
      </c>
      <c r="B200">
        <v>1.8</v>
      </c>
      <c r="C200">
        <v>1.9</v>
      </c>
      <c r="D200" t="str">
        <f t="shared" si="6"/>
        <v>2019/04/10 14:30:00</v>
      </c>
      <c r="F200" t="str">
        <v>2019/04/10 14:30:00</v>
      </c>
      <c r="G200">
        <f t="shared" si="7"/>
        <v>43565</v>
      </c>
    </row>
    <row r="201" spans="1:7">
      <c r="A201" s="1">
        <v>43595</v>
      </c>
      <c r="B201">
        <v>2.1</v>
      </c>
      <c r="C201">
        <v>2</v>
      </c>
      <c r="D201" t="str">
        <f t="shared" si="6"/>
        <v>2019/05/10 14:30:00</v>
      </c>
      <c r="F201" t="str">
        <v>2019/05/10 14:30:00</v>
      </c>
      <c r="G201">
        <f t="shared" si="7"/>
        <v>43595</v>
      </c>
    </row>
    <row r="202" spans="1:7">
      <c r="A202" s="1">
        <v>43628</v>
      </c>
      <c r="B202">
        <v>1.9</v>
      </c>
      <c r="C202">
        <v>1.8</v>
      </c>
      <c r="D202" t="str">
        <f t="shared" si="6"/>
        <v>2019/06/12 14:30:00</v>
      </c>
      <c r="F202" t="str">
        <v>2019/06/12 14:30:00</v>
      </c>
      <c r="G202">
        <f t="shared" si="7"/>
        <v>43628</v>
      </c>
    </row>
    <row r="203" spans="1:7">
      <c r="A203" s="1">
        <v>43657</v>
      </c>
      <c r="B203">
        <v>1.6</v>
      </c>
      <c r="C203">
        <v>1.6</v>
      </c>
      <c r="D203" t="str">
        <f t="shared" si="6"/>
        <v>2019/07/11 14:30:00</v>
      </c>
      <c r="F203" t="str">
        <v>2019/07/11 14:30:00</v>
      </c>
      <c r="G203">
        <f t="shared" si="7"/>
        <v>43657</v>
      </c>
    </row>
    <row r="204" spans="1:7">
      <c r="A204" s="1">
        <v>43690</v>
      </c>
      <c r="B204">
        <v>1.7</v>
      </c>
      <c r="C204">
        <v>1.8</v>
      </c>
      <c r="D204" t="str">
        <f t="shared" si="6"/>
        <v>2019/08/13 14:30:00</v>
      </c>
      <c r="F204" t="str">
        <v>2019/08/13 14:30:00</v>
      </c>
      <c r="G204">
        <f t="shared" si="7"/>
        <v>43690</v>
      </c>
    </row>
    <row r="205" spans="1:7">
      <c r="A205" s="1">
        <v>43720</v>
      </c>
      <c r="B205">
        <v>1.8</v>
      </c>
      <c r="C205">
        <v>1.7</v>
      </c>
      <c r="D205" t="str">
        <f t="shared" si="6"/>
        <v>2019/09/12 14:30:00</v>
      </c>
      <c r="F205" t="str">
        <v>2019/09/12 14:30:00</v>
      </c>
      <c r="G205">
        <f t="shared" si="7"/>
        <v>43720</v>
      </c>
    </row>
    <row r="206" spans="1:7">
      <c r="A206" s="1">
        <v>43748</v>
      </c>
      <c r="B206">
        <v>1.8</v>
      </c>
      <c r="C206">
        <v>1.7</v>
      </c>
      <c r="D206" t="str">
        <f t="shared" si="6"/>
        <v>2019/10/10 14:30:00</v>
      </c>
      <c r="F206" t="str">
        <v>2019/10/10 14:30:00</v>
      </c>
      <c r="G206">
        <f t="shared" si="7"/>
        <v>43748</v>
      </c>
    </row>
    <row r="207" spans="1:7">
      <c r="A207" s="1">
        <v>43782</v>
      </c>
      <c r="B207">
        <v>1.7</v>
      </c>
      <c r="C207">
        <v>1.8</v>
      </c>
      <c r="D207" t="str">
        <f t="shared" si="6"/>
        <v>2019/11/13 14:30:00</v>
      </c>
      <c r="F207" t="str">
        <v>2019/11/13 14:30:00</v>
      </c>
      <c r="G207">
        <f t="shared" si="7"/>
        <v>43782</v>
      </c>
    </row>
    <row r="208" spans="1:7">
      <c r="A208" s="1">
        <v>43810</v>
      </c>
      <c r="B208">
        <v>2</v>
      </c>
      <c r="C208">
        <v>2.1</v>
      </c>
      <c r="D208" t="str">
        <f t="shared" si="6"/>
        <v>2019/12/11 14:30:00</v>
      </c>
      <c r="F208" t="str">
        <v>2019/12/11 14:30:00</v>
      </c>
      <c r="G208">
        <f t="shared" si="7"/>
        <v>43810</v>
      </c>
    </row>
    <row r="209" spans="1:7">
      <c r="A209" s="1">
        <v>43844</v>
      </c>
      <c r="B209">
        <v>2.4</v>
      </c>
      <c r="C209">
        <v>2.2999999999999998</v>
      </c>
      <c r="D209" t="str">
        <f t="shared" si="6"/>
        <v>2020/01/14 14:30:00</v>
      </c>
      <c r="F209" t="str">
        <v>2020/01/14 14:30:00</v>
      </c>
      <c r="G209">
        <f t="shared" si="7"/>
        <v>43844</v>
      </c>
    </row>
    <row r="210" spans="1:7">
      <c r="A210" s="1">
        <v>43874</v>
      </c>
      <c r="B210">
        <v>2.4</v>
      </c>
      <c r="C210">
        <v>2.5</v>
      </c>
      <c r="D210" t="str">
        <f t="shared" si="6"/>
        <v>2020/02/13 14:30:00</v>
      </c>
      <c r="F210" t="str">
        <v>2020/02/13 14:30:00</v>
      </c>
      <c r="G210">
        <f t="shared" si="7"/>
        <v>43874</v>
      </c>
    </row>
    <row r="211" spans="1:7">
      <c r="A211" s="1">
        <v>43901</v>
      </c>
      <c r="B211">
        <v>2.2000000000000002</v>
      </c>
      <c r="C211">
        <v>2.2999999999999998</v>
      </c>
      <c r="D211" t="str">
        <f t="shared" si="6"/>
        <v>2020/03/11 13:30:00</v>
      </c>
      <c r="F211" t="str">
        <v>2020/03/11 13:30:00</v>
      </c>
      <c r="G211">
        <f t="shared" si="7"/>
        <v>43901</v>
      </c>
    </row>
    <row r="212" spans="1:7">
      <c r="A212" s="1">
        <v>43931</v>
      </c>
      <c r="B212">
        <v>1.6</v>
      </c>
      <c r="C212">
        <v>1.5</v>
      </c>
      <c r="D212" t="str">
        <f t="shared" si="6"/>
        <v>2020/04/10 14:30:00</v>
      </c>
      <c r="F212" t="str">
        <v>2020/04/10 14:30:00</v>
      </c>
      <c r="G212">
        <f t="shared" si="7"/>
        <v>43931</v>
      </c>
    </row>
    <row r="213" spans="1:7">
      <c r="A213" s="1">
        <v>43963</v>
      </c>
      <c r="B213">
        <v>0.4</v>
      </c>
      <c r="C213">
        <v>0.3</v>
      </c>
      <c r="D213" t="str">
        <f t="shared" si="6"/>
        <v>2020/05/12 14:30:00</v>
      </c>
      <c r="F213" t="str">
        <v>2020/05/12 14:30:00</v>
      </c>
      <c r="G213">
        <f t="shared" si="7"/>
        <v>43963</v>
      </c>
    </row>
    <row r="214" spans="1:7">
      <c r="A214" s="1">
        <v>43992</v>
      </c>
      <c r="B214">
        <v>0.3</v>
      </c>
      <c r="C214">
        <v>0.1</v>
      </c>
      <c r="D214" t="str">
        <f t="shared" si="6"/>
        <v>2020/06/10 14:30:00</v>
      </c>
      <c r="F214" t="str">
        <v>2020/06/10 14:30:00</v>
      </c>
      <c r="G214">
        <f t="shared" si="7"/>
        <v>43992</v>
      </c>
    </row>
    <row r="215" spans="1:7">
      <c r="A215" s="1">
        <v>44026</v>
      </c>
      <c r="B215">
        <v>0.6</v>
      </c>
      <c r="C215">
        <v>0.6</v>
      </c>
      <c r="D215" t="str">
        <f t="shared" si="6"/>
        <v>2020/07/14 14:30:00</v>
      </c>
      <c r="F215" t="str">
        <v>2020/07/14 14:30:00</v>
      </c>
      <c r="G215">
        <f t="shared" si="7"/>
        <v>44026</v>
      </c>
    </row>
    <row r="216" spans="1:7">
      <c r="A216" s="1">
        <v>44055</v>
      </c>
      <c r="B216">
        <v>0.7</v>
      </c>
      <c r="C216">
        <v>1</v>
      </c>
      <c r="D216" t="str">
        <f t="shared" si="6"/>
        <v>2020/08/12 14:30:00</v>
      </c>
      <c r="F216" t="str">
        <v>2020/08/12 14:30:00</v>
      </c>
      <c r="G216">
        <f t="shared" si="7"/>
        <v>44055</v>
      </c>
    </row>
    <row r="217" spans="1:7">
      <c r="A217" s="1">
        <v>44085</v>
      </c>
      <c r="B217">
        <v>1.2</v>
      </c>
      <c r="C217">
        <v>1.3</v>
      </c>
      <c r="D217" t="str">
        <f t="shared" si="6"/>
        <v>2020/09/11 14:30:00</v>
      </c>
      <c r="F217" t="str">
        <v>2020/09/11 14:30:00</v>
      </c>
      <c r="G217">
        <f t="shared" si="7"/>
        <v>44085</v>
      </c>
    </row>
    <row r="218" spans="1:7">
      <c r="A218" s="1">
        <v>44117</v>
      </c>
      <c r="B218">
        <v>1.4</v>
      </c>
      <c r="C218">
        <v>1.4</v>
      </c>
      <c r="D218" t="str">
        <f t="shared" si="6"/>
        <v>2020/10/13 14:30:00</v>
      </c>
      <c r="F218" t="str">
        <v>2020/10/13 14:30:00</v>
      </c>
      <c r="G218">
        <f t="shared" si="7"/>
        <v>44117</v>
      </c>
    </row>
    <row r="219" spans="1:7">
      <c r="A219" s="1">
        <v>44147</v>
      </c>
      <c r="B219">
        <v>1.3</v>
      </c>
      <c r="C219">
        <v>1.2</v>
      </c>
      <c r="D219" t="str">
        <f t="shared" si="6"/>
        <v>2020/11/12 14:30:00</v>
      </c>
      <c r="F219" t="str">
        <v>2020/11/12 14:30:00</v>
      </c>
      <c r="G219">
        <f t="shared" si="7"/>
        <v>44147</v>
      </c>
    </row>
    <row r="220" spans="1:7">
      <c r="A220" s="1">
        <v>44175</v>
      </c>
      <c r="B220">
        <v>1.1000000000000001</v>
      </c>
      <c r="C220">
        <v>1.2</v>
      </c>
      <c r="D220" t="str">
        <f t="shared" si="6"/>
        <v>2020/12/10 14:30:00</v>
      </c>
      <c r="F220" t="str">
        <v>2020/12/10 14:30:00</v>
      </c>
      <c r="G220">
        <f t="shared" si="7"/>
        <v>44175</v>
      </c>
    </row>
    <row r="221" spans="1:7">
      <c r="A221" s="1">
        <v>44209</v>
      </c>
      <c r="B221">
        <v>1.3</v>
      </c>
      <c r="C221">
        <v>1.4</v>
      </c>
      <c r="D221" t="str">
        <f t="shared" si="6"/>
        <v>2021/01/13 14:30:00</v>
      </c>
      <c r="F221" t="str">
        <v>2021/01/13 14:30:00</v>
      </c>
      <c r="G221">
        <f t="shared" si="7"/>
        <v>44209</v>
      </c>
    </row>
    <row r="222" spans="1:7">
      <c r="A222" s="1">
        <v>44237</v>
      </c>
      <c r="B222">
        <v>1.5</v>
      </c>
      <c r="C222">
        <v>1.4</v>
      </c>
      <c r="D222" t="str">
        <f t="shared" si="6"/>
        <v>2021/02/10 14:30:00</v>
      </c>
      <c r="F222" t="str">
        <v>2021/02/10 14:30:00</v>
      </c>
      <c r="G222">
        <f t="shared" si="7"/>
        <v>44237</v>
      </c>
    </row>
    <row r="223" spans="1:7">
      <c r="A223" s="1">
        <v>44265</v>
      </c>
      <c r="B223">
        <v>1.7</v>
      </c>
      <c r="C223">
        <v>1.7</v>
      </c>
      <c r="D223" t="str">
        <f t="shared" si="6"/>
        <v>2021/03/10 14:30:00</v>
      </c>
      <c r="F223" t="str">
        <v>2021/03/10 14:30:00</v>
      </c>
      <c r="G223">
        <f t="shared" si="7"/>
        <v>44265</v>
      </c>
    </row>
    <row r="224" spans="1:7">
      <c r="A224" s="1">
        <v>44299</v>
      </c>
      <c r="B224">
        <v>2.5</v>
      </c>
      <c r="C224">
        <v>2.6</v>
      </c>
      <c r="D224" t="str">
        <f t="shared" si="6"/>
        <v>2021/04/13 14:30:00</v>
      </c>
      <c r="F224" t="str">
        <v>2021/04/13 14:30:00</v>
      </c>
      <c r="G224">
        <f t="shared" si="7"/>
        <v>44299</v>
      </c>
    </row>
    <row r="225" spans="1:7">
      <c r="A225" s="1">
        <v>44328</v>
      </c>
      <c r="B225">
        <v>3.6</v>
      </c>
      <c r="C225">
        <v>4.2</v>
      </c>
      <c r="D225" t="str">
        <f t="shared" si="6"/>
        <v>2021/05/12 14:30:00</v>
      </c>
      <c r="F225" t="str">
        <v>2021/05/12 14:30:00</v>
      </c>
      <c r="G225">
        <f t="shared" si="7"/>
        <v>44328</v>
      </c>
    </row>
    <row r="226" spans="1:7">
      <c r="A226" s="1">
        <v>44357</v>
      </c>
      <c r="B226">
        <v>4.7</v>
      </c>
      <c r="C226">
        <v>5</v>
      </c>
      <c r="D226" t="str">
        <f t="shared" si="6"/>
        <v>2021/06/10 14:30:00</v>
      </c>
      <c r="F226" t="str">
        <v>2021/06/10 14:30:00</v>
      </c>
      <c r="G226">
        <f t="shared" si="7"/>
        <v>44357</v>
      </c>
    </row>
    <row r="227" spans="1:7">
      <c r="A227" s="1">
        <v>44390</v>
      </c>
      <c r="B227">
        <v>4.9000000000000004</v>
      </c>
      <c r="C227">
        <v>5.4</v>
      </c>
      <c r="D227" t="str">
        <f t="shared" si="6"/>
        <v>2021/07/13 14:30:00</v>
      </c>
      <c r="F227" t="str">
        <v>2021/07/13 14:30:00</v>
      </c>
      <c r="G227">
        <f t="shared" si="7"/>
        <v>44390</v>
      </c>
    </row>
    <row r="228" spans="1:7">
      <c r="A228" s="1">
        <v>44419</v>
      </c>
      <c r="B228">
        <v>5.3</v>
      </c>
      <c r="C228">
        <v>5.4</v>
      </c>
      <c r="D228" t="str">
        <f t="shared" si="6"/>
        <v>2021/08/11 14:30:00</v>
      </c>
      <c r="F228" t="str">
        <v>2021/08/11 14:30:00</v>
      </c>
      <c r="G228">
        <f t="shared" si="7"/>
        <v>44419</v>
      </c>
    </row>
    <row r="229" spans="1:7">
      <c r="A229" s="1">
        <v>44453</v>
      </c>
      <c r="B229">
        <v>5.3</v>
      </c>
      <c r="C229">
        <v>5.3</v>
      </c>
      <c r="D229" t="str">
        <f t="shared" si="6"/>
        <v>2021/09/14 14:30:00</v>
      </c>
      <c r="F229" t="str">
        <v>2021/09/14 14:30:00</v>
      </c>
      <c r="G229">
        <f t="shared" si="7"/>
        <v>44453</v>
      </c>
    </row>
    <row r="230" spans="1:7">
      <c r="A230" s="1">
        <v>44482</v>
      </c>
      <c r="B230">
        <v>5.3</v>
      </c>
      <c r="C230">
        <v>5.4</v>
      </c>
      <c r="D230" t="str">
        <f t="shared" si="6"/>
        <v>2021/10/13 14:30:00</v>
      </c>
      <c r="F230" t="str">
        <v>2021/10/13 14:30:00</v>
      </c>
      <c r="G230">
        <f t="shared" si="7"/>
        <v>44482</v>
      </c>
    </row>
    <row r="231" spans="1:7">
      <c r="A231" s="1">
        <v>44510</v>
      </c>
      <c r="B231">
        <v>5.9</v>
      </c>
      <c r="C231">
        <v>6.2</v>
      </c>
      <c r="D231" t="str">
        <f t="shared" si="6"/>
        <v>2021/11/10 14:30:00</v>
      </c>
      <c r="F231" t="str">
        <v>2021/11/10 14:30:00</v>
      </c>
      <c r="G231">
        <f t="shared" si="7"/>
        <v>44510</v>
      </c>
    </row>
    <row r="232" spans="1:7">
      <c r="A232" s="1">
        <v>44540</v>
      </c>
      <c r="B232">
        <v>6.8</v>
      </c>
      <c r="C232">
        <v>6.8</v>
      </c>
      <c r="D232" t="str">
        <f t="shared" si="6"/>
        <v>2021/12/10 14:30:00</v>
      </c>
      <c r="F232" t="str">
        <v>2021/12/10 14:30:00</v>
      </c>
      <c r="G232">
        <f t="shared" si="7"/>
        <v>44540</v>
      </c>
    </row>
    <row r="233" spans="1:7">
      <c r="A233" s="1">
        <v>44573</v>
      </c>
      <c r="B233">
        <v>7</v>
      </c>
      <c r="C233">
        <v>7</v>
      </c>
      <c r="D233" t="str">
        <f t="shared" si="6"/>
        <v>2022/01/12 14:30:00</v>
      </c>
      <c r="F233" t="str">
        <v>2022/01/12 14:30:00</v>
      </c>
      <c r="G233">
        <f t="shared" si="7"/>
        <v>44573</v>
      </c>
    </row>
    <row r="234" spans="1:7">
      <c r="A234" s="1">
        <v>44602</v>
      </c>
      <c r="B234">
        <v>7.3</v>
      </c>
      <c r="C234">
        <v>7.5</v>
      </c>
      <c r="D234" t="str">
        <f t="shared" si="6"/>
        <v>2022/02/10 14:30:00</v>
      </c>
      <c r="F234" t="str">
        <v>2022/02/10 14:30:00</v>
      </c>
      <c r="G234">
        <f t="shared" si="7"/>
        <v>44602</v>
      </c>
    </row>
    <row r="235" spans="1:7">
      <c r="A235" s="1">
        <v>44630</v>
      </c>
      <c r="B235">
        <v>7.9</v>
      </c>
      <c r="C235">
        <v>7.9</v>
      </c>
      <c r="D235" t="str">
        <f t="shared" si="6"/>
        <v>2022/03/10 14:30:00</v>
      </c>
      <c r="F235" t="str">
        <v>2022/03/10 14:30:00</v>
      </c>
      <c r="G235">
        <f t="shared" si="7"/>
        <v>44630</v>
      </c>
    </row>
    <row r="236" spans="1:7">
      <c r="A236" s="1">
        <v>44663</v>
      </c>
      <c r="B236">
        <v>8.4</v>
      </c>
      <c r="C236">
        <v>8.5</v>
      </c>
      <c r="D236" t="str">
        <f t="shared" si="6"/>
        <v>2022/04/12 14:30:00</v>
      </c>
      <c r="F236" t="str">
        <v>2022/04/12 14:30:00</v>
      </c>
      <c r="G236">
        <f t="shared" si="7"/>
        <v>44663</v>
      </c>
    </row>
    <row r="237" spans="1:7">
      <c r="A237" s="1">
        <v>44692</v>
      </c>
      <c r="B237">
        <v>8.1</v>
      </c>
      <c r="C237">
        <v>8.3000000000000007</v>
      </c>
      <c r="D237" t="str">
        <f t="shared" si="6"/>
        <v>2022/05/11 14:30:00</v>
      </c>
      <c r="F237" t="str">
        <v>2022/05/11 14:30:00</v>
      </c>
      <c r="G237">
        <f t="shared" si="7"/>
        <v>44692</v>
      </c>
    </row>
    <row r="238" spans="1:7">
      <c r="A238" s="1">
        <v>44722</v>
      </c>
      <c r="B238">
        <v>8.3000000000000007</v>
      </c>
      <c r="C238">
        <v>8.6</v>
      </c>
      <c r="D238" t="str">
        <f t="shared" si="6"/>
        <v>2022/06/10 14:30:00</v>
      </c>
      <c r="F238" t="str">
        <v>2022/06/10 14:30:00</v>
      </c>
      <c r="G238">
        <f t="shared" si="7"/>
        <v>44722</v>
      </c>
    </row>
    <row r="239" spans="1:7">
      <c r="A239" s="1">
        <v>44755</v>
      </c>
      <c r="B239">
        <v>8.8000000000000007</v>
      </c>
      <c r="C239">
        <v>9.1</v>
      </c>
      <c r="D239" t="str">
        <f t="shared" si="6"/>
        <v>2022/07/13 14:30:00</v>
      </c>
      <c r="F239" t="str">
        <v>2022/07/13 14:30:00</v>
      </c>
      <c r="G239">
        <f t="shared" si="7"/>
        <v>44755</v>
      </c>
    </row>
    <row r="240" spans="1:7">
      <c r="A240" s="1">
        <v>44783</v>
      </c>
      <c r="B240">
        <v>8.6999999999999993</v>
      </c>
      <c r="C240">
        <v>8.5</v>
      </c>
      <c r="D240" t="str">
        <f t="shared" si="6"/>
        <v>2022/08/10 14:30:00</v>
      </c>
      <c r="F240" t="str">
        <v>2022/08/10 14:30:00</v>
      </c>
      <c r="G240">
        <f t="shared" si="7"/>
        <v>44783</v>
      </c>
    </row>
    <row r="241" spans="1:7">
      <c r="A241" s="1">
        <v>44817</v>
      </c>
      <c r="B241">
        <v>8.1</v>
      </c>
      <c r="C241">
        <v>8.3000000000000007</v>
      </c>
      <c r="D241" t="str">
        <f t="shared" si="6"/>
        <v>2022/09/13 14:30:00</v>
      </c>
      <c r="F241" t="str">
        <v>2022/09/13 14:30:00</v>
      </c>
      <c r="G241">
        <f t="shared" si="7"/>
        <v>44817</v>
      </c>
    </row>
    <row r="242" spans="1:7">
      <c r="A242" s="1">
        <v>44847</v>
      </c>
      <c r="B242">
        <v>8.1</v>
      </c>
      <c r="C242">
        <v>8.1999999999999993</v>
      </c>
      <c r="D242" t="str">
        <f t="shared" si="6"/>
        <v>2022/10/13 14:30:00</v>
      </c>
      <c r="F242" t="str">
        <v>2022/10/13 14:30:00</v>
      </c>
      <c r="G242">
        <f t="shared" si="7"/>
        <v>44847</v>
      </c>
    </row>
    <row r="243" spans="1:7">
      <c r="A243" s="1">
        <v>44875</v>
      </c>
      <c r="B243">
        <v>7.9</v>
      </c>
      <c r="C243">
        <v>7.7</v>
      </c>
      <c r="D243" t="str">
        <f t="shared" si="6"/>
        <v>2022/11/10 14:30:00</v>
      </c>
      <c r="F243" t="str">
        <v>2022/11/10 14:30:00</v>
      </c>
      <c r="G243">
        <f t="shared" si="7"/>
        <v>44875</v>
      </c>
    </row>
    <row r="244" spans="1:7">
      <c r="A244" s="1">
        <v>44908</v>
      </c>
      <c r="B244">
        <v>7.3</v>
      </c>
      <c r="C244">
        <v>7.1</v>
      </c>
      <c r="D244" t="str">
        <f t="shared" si="6"/>
        <v>2022/12/13 14:30:00</v>
      </c>
      <c r="F244" t="str">
        <v>2022/12/13 14:30:00</v>
      </c>
      <c r="G244">
        <f t="shared" si="7"/>
        <v>44908</v>
      </c>
    </row>
    <row r="245" spans="1:7">
      <c r="A245" s="1">
        <v>44938</v>
      </c>
      <c r="B245">
        <v>6.5</v>
      </c>
      <c r="C245">
        <v>6.5</v>
      </c>
      <c r="D245" t="str">
        <f t="shared" si="6"/>
        <v>2023/01/12 14:30:00</v>
      </c>
      <c r="F245" t="str">
        <v>2023/01/12 14:30:00</v>
      </c>
      <c r="G245">
        <f t="shared" si="7"/>
        <v>44938</v>
      </c>
    </row>
    <row r="246" spans="1:7">
      <c r="A246" s="1">
        <v>44971</v>
      </c>
      <c r="B246">
        <v>6.2</v>
      </c>
      <c r="C246">
        <v>6.4</v>
      </c>
      <c r="D246" t="str">
        <f t="shared" si="6"/>
        <v>2023/02/14 14:30:00</v>
      </c>
      <c r="F246" t="str">
        <v>2023/02/14 14:30:00</v>
      </c>
      <c r="G246">
        <f t="shared" si="7"/>
        <v>44971</v>
      </c>
    </row>
    <row r="247" spans="1:7">
      <c r="A247" s="1">
        <v>44999</v>
      </c>
      <c r="B247">
        <v>6</v>
      </c>
      <c r="C247">
        <v>6</v>
      </c>
      <c r="D247" t="str">
        <f t="shared" si="6"/>
        <v>2023/03/14 13:30:00</v>
      </c>
      <c r="F247" t="str">
        <v>2023/03/14 13:30:00</v>
      </c>
      <c r="G247">
        <f t="shared" si="7"/>
        <v>44999</v>
      </c>
    </row>
    <row r="248" spans="1:7">
      <c r="A248" s="1">
        <v>45028</v>
      </c>
      <c r="B248">
        <v>5.0999999999999996</v>
      </c>
      <c r="C248">
        <v>5</v>
      </c>
      <c r="D248" t="str">
        <f t="shared" si="6"/>
        <v>2023/04/12 14:30:00</v>
      </c>
      <c r="F248" t="str">
        <v>2023/04/12 14:30:00</v>
      </c>
      <c r="G248">
        <f t="shared" si="7"/>
        <v>45028</v>
      </c>
    </row>
    <row r="249" spans="1:7">
      <c r="A249" s="1">
        <v>45056</v>
      </c>
      <c r="B249">
        <v>5</v>
      </c>
      <c r="C249">
        <v>4.9000000000000004</v>
      </c>
      <c r="D249" t="str">
        <f t="shared" si="6"/>
        <v>2023/05/10 14:30:00</v>
      </c>
      <c r="F249" t="str">
        <v>2023/05/10 14:30:00</v>
      </c>
      <c r="G249">
        <f t="shared" si="7"/>
        <v>45056</v>
      </c>
    </row>
    <row r="250" spans="1:7">
      <c r="A250" s="1">
        <v>45090</v>
      </c>
      <c r="B250">
        <v>4.0999999999999996</v>
      </c>
      <c r="C250">
        <v>4</v>
      </c>
      <c r="D250" t="str">
        <f t="shared" si="6"/>
        <v>2023/06/13 14:30:00</v>
      </c>
      <c r="F250" t="str">
        <v>2023/06/13 14:30:00</v>
      </c>
      <c r="G250">
        <f t="shared" si="7"/>
        <v>45090</v>
      </c>
    </row>
    <row r="251" spans="1:7">
      <c r="A251" s="1">
        <v>45119</v>
      </c>
      <c r="B251">
        <v>3.1</v>
      </c>
      <c r="C251">
        <v>3</v>
      </c>
      <c r="D251" t="str">
        <f t="shared" si="6"/>
        <v>2023/07/12 14:30:00</v>
      </c>
      <c r="F251" t="str">
        <v>2023/07/12 14:30:00</v>
      </c>
      <c r="G251">
        <f t="shared" si="7"/>
        <v>45119</v>
      </c>
    </row>
    <row r="252" spans="1:7">
      <c r="A252" s="1">
        <v>45148</v>
      </c>
      <c r="B252">
        <v>3.3</v>
      </c>
      <c r="C252">
        <v>3.2</v>
      </c>
      <c r="D252" t="str">
        <f t="shared" si="6"/>
        <v>2023/08/10 14:30:00</v>
      </c>
      <c r="F252" t="str">
        <v>2023/08/10 14:30:00</v>
      </c>
      <c r="G252">
        <f t="shared" si="7"/>
        <v>45148</v>
      </c>
    </row>
    <row r="253" spans="1:7">
      <c r="A253" s="1">
        <v>45182</v>
      </c>
      <c r="B253">
        <v>3.6</v>
      </c>
      <c r="C253">
        <v>3.7</v>
      </c>
      <c r="D253" t="str">
        <f t="shared" si="6"/>
        <v>2023/09/13 14:30:00</v>
      </c>
      <c r="F253" t="str">
        <v>2023/09/13 14:30:00</v>
      </c>
      <c r="G253">
        <f t="shared" si="7"/>
        <v>45182</v>
      </c>
    </row>
    <row r="254" spans="1:7">
      <c r="A254" s="1">
        <v>45211</v>
      </c>
      <c r="B254">
        <v>3.6</v>
      </c>
      <c r="C254">
        <v>3.7</v>
      </c>
      <c r="D254" t="str">
        <f t="shared" si="6"/>
        <v>2023/10/12 14:30:00</v>
      </c>
      <c r="F254" t="str">
        <v>2023/10/12 14:30:00</v>
      </c>
      <c r="G254">
        <f t="shared" si="7"/>
        <v>45211</v>
      </c>
    </row>
    <row r="255" spans="1:7">
      <c r="A255" s="1">
        <v>45244</v>
      </c>
      <c r="B255">
        <v>3.3</v>
      </c>
      <c r="C255">
        <v>3.2</v>
      </c>
      <c r="D255" t="str">
        <f t="shared" si="6"/>
        <v>2023/11/14 14:30:00</v>
      </c>
      <c r="F255" t="str">
        <v>2023/11/14 14:30:00</v>
      </c>
      <c r="G255">
        <f t="shared" si="7"/>
        <v>45244</v>
      </c>
    </row>
    <row r="256" spans="1:7">
      <c r="A256" s="1">
        <v>45272</v>
      </c>
      <c r="B256">
        <v>3.1</v>
      </c>
      <c r="C256">
        <v>3.1</v>
      </c>
      <c r="D256" t="str">
        <f t="shared" si="6"/>
        <v>2023/12/12 14:30:00</v>
      </c>
      <c r="F256" t="str">
        <v>2023/12/12 14:30:00</v>
      </c>
      <c r="G256">
        <f t="shared" si="7"/>
        <v>45272</v>
      </c>
    </row>
    <row r="257" spans="1:7">
      <c r="A257" s="1">
        <v>45302</v>
      </c>
      <c r="B257">
        <v>3.2</v>
      </c>
      <c r="C257">
        <v>3.4</v>
      </c>
      <c r="D257" t="str">
        <f t="shared" si="6"/>
        <v>2024/01/11 14:30:00</v>
      </c>
      <c r="F257" t="str">
        <v>2024/01/11 14:30:00</v>
      </c>
      <c r="G257">
        <f t="shared" si="7"/>
        <v>45302</v>
      </c>
    </row>
    <row r="258" spans="1:7">
      <c r="A258" s="1">
        <v>45335</v>
      </c>
      <c r="B258">
        <v>2.9</v>
      </c>
      <c r="C258">
        <v>3.1</v>
      </c>
      <c r="D258" t="str">
        <f t="shared" si="6"/>
        <v>2024/02/13 14:30:00</v>
      </c>
      <c r="F258" t="str">
        <v>2024/02/13 14:30:00</v>
      </c>
      <c r="G258">
        <f t="shared" si="7"/>
        <v>45335</v>
      </c>
    </row>
    <row r="259" spans="1:7">
      <c r="A259" s="1">
        <v>45363</v>
      </c>
      <c r="B259">
        <v>3.1</v>
      </c>
      <c r="C259">
        <v>3.2</v>
      </c>
      <c r="D259" t="str">
        <f t="shared" ref="D259:D282" si="8">_xlfn.XLOOKUP(A259,$G:$G,$F:$F,"")</f>
        <v>2024/03/12 13:30:00</v>
      </c>
      <c r="F259" t="str">
        <v>2024/03/12 13:30:00</v>
      </c>
      <c r="G259">
        <f t="shared" ref="G259:G282" si="9">INT(F259)</f>
        <v>45363</v>
      </c>
    </row>
    <row r="260" spans="1:7">
      <c r="A260" s="1">
        <v>45392</v>
      </c>
      <c r="B260">
        <v>3.4</v>
      </c>
      <c r="C260">
        <v>3.5</v>
      </c>
      <c r="D260" t="str">
        <f t="shared" si="8"/>
        <v>2024/04/10 14:30:00</v>
      </c>
      <c r="F260" t="str">
        <v>2024/04/10 14:30:00</v>
      </c>
      <c r="G260">
        <f t="shared" si="9"/>
        <v>45392</v>
      </c>
    </row>
    <row r="261" spans="1:7">
      <c r="A261" s="1">
        <v>45427</v>
      </c>
      <c r="B261">
        <v>3.4</v>
      </c>
      <c r="C261">
        <v>3.4</v>
      </c>
      <c r="D261" t="str">
        <f t="shared" si="8"/>
        <v>2024/05/15 14:30:00</v>
      </c>
      <c r="F261" t="str">
        <v>2024/05/15 14:30:00</v>
      </c>
      <c r="G261">
        <f t="shared" si="9"/>
        <v>45427</v>
      </c>
    </row>
    <row r="262" spans="1:7">
      <c r="A262" s="1">
        <v>45455</v>
      </c>
      <c r="B262">
        <v>3.4</v>
      </c>
      <c r="C262">
        <v>3.3</v>
      </c>
      <c r="D262" t="str">
        <f t="shared" si="8"/>
        <v>2024/06/12 14:30:00</v>
      </c>
      <c r="F262" t="str">
        <v>2024/06/12 14:30:00</v>
      </c>
      <c r="G262">
        <f t="shared" si="9"/>
        <v>45455</v>
      </c>
    </row>
    <row r="263" spans="1:7">
      <c r="A263" s="1">
        <v>45484</v>
      </c>
      <c r="B263">
        <v>3.1</v>
      </c>
      <c r="C263">
        <v>3</v>
      </c>
      <c r="D263" t="str">
        <f t="shared" si="8"/>
        <v>2024/07/11 14:30:00</v>
      </c>
      <c r="F263" t="str">
        <v>2024/07/11 14:30:00</v>
      </c>
      <c r="G263">
        <f t="shared" si="9"/>
        <v>45484</v>
      </c>
    </row>
    <row r="264" spans="1:7">
      <c r="A264" s="1">
        <v>45518</v>
      </c>
      <c r="B264">
        <v>3</v>
      </c>
      <c r="C264">
        <v>2.9</v>
      </c>
      <c r="D264" t="str">
        <f t="shared" si="8"/>
        <v>2024/08/14 14:30:00</v>
      </c>
      <c r="F264" t="str">
        <v>2024/08/14 14:30:00</v>
      </c>
      <c r="G264">
        <f t="shared" si="9"/>
        <v>45518</v>
      </c>
    </row>
    <row r="265" spans="1:7">
      <c r="A265" s="1">
        <v>45546</v>
      </c>
      <c r="B265">
        <v>2.5</v>
      </c>
      <c r="C265">
        <v>2.5</v>
      </c>
      <c r="D265" t="str">
        <f t="shared" si="8"/>
        <v>2024/09/11 14:30:00</v>
      </c>
      <c r="F265" t="str">
        <v>2024/09/11 14:30:00</v>
      </c>
      <c r="G265">
        <f t="shared" si="9"/>
        <v>45546</v>
      </c>
    </row>
    <row r="266" spans="1:7">
      <c r="A266" s="1">
        <v>45575</v>
      </c>
      <c r="B266">
        <v>2.2999999999999998</v>
      </c>
      <c r="C266">
        <v>2.4</v>
      </c>
      <c r="D266" t="str">
        <f t="shared" si="8"/>
        <v>2024/10/10 14:30:00</v>
      </c>
      <c r="F266" t="str">
        <v>2024/10/10 14:30:00</v>
      </c>
      <c r="G266">
        <f t="shared" si="9"/>
        <v>45575</v>
      </c>
    </row>
    <row r="267" spans="1:7">
      <c r="A267" s="1">
        <v>45609</v>
      </c>
      <c r="B267">
        <v>2.6</v>
      </c>
      <c r="C267">
        <v>2.6</v>
      </c>
      <c r="D267" t="str">
        <f t="shared" si="8"/>
        <v>2024/11/13 14:30:00</v>
      </c>
      <c r="F267" t="str">
        <v>2024/11/13 14:30:00</v>
      </c>
      <c r="G267">
        <f t="shared" si="9"/>
        <v>45609</v>
      </c>
    </row>
    <row r="268" spans="1:7">
      <c r="A268" s="1">
        <v>45637</v>
      </c>
      <c r="B268">
        <v>2.7</v>
      </c>
      <c r="C268">
        <v>2.7</v>
      </c>
      <c r="D268" t="str">
        <f t="shared" si="8"/>
        <v>2024/12/11 14:30:00</v>
      </c>
      <c r="F268" t="str">
        <v>2024/12/11 14:30:00</v>
      </c>
      <c r="G268">
        <f t="shared" si="9"/>
        <v>45637</v>
      </c>
    </row>
    <row r="269" spans="1:7">
      <c r="A269" s="1">
        <v>45672</v>
      </c>
      <c r="B269">
        <v>2.9</v>
      </c>
      <c r="C269">
        <v>2.9</v>
      </c>
      <c r="D269" t="str">
        <f t="shared" si="8"/>
        <v>2025/01/15 14:30:00</v>
      </c>
      <c r="F269" t="str">
        <v>2025/01/15 14:30:00</v>
      </c>
      <c r="G269">
        <f t="shared" si="9"/>
        <v>45672</v>
      </c>
    </row>
    <row r="270" spans="1:7">
      <c r="A270" s="1">
        <v>45700</v>
      </c>
      <c r="B270">
        <v>2.9</v>
      </c>
      <c r="C270">
        <v>3</v>
      </c>
      <c r="D270" t="str">
        <f t="shared" si="8"/>
        <v>2025/02/12 14:30:00</v>
      </c>
      <c r="F270" t="str">
        <v>2025/02/12 14:30:00</v>
      </c>
      <c r="G270">
        <f t="shared" si="9"/>
        <v>45700</v>
      </c>
    </row>
    <row r="271" spans="1:7">
      <c r="A271" s="1">
        <v>45728</v>
      </c>
      <c r="B271">
        <v>2.9</v>
      </c>
      <c r="C271">
        <v>2.8</v>
      </c>
      <c r="D271" t="str">
        <f t="shared" si="8"/>
        <v>2025/03/12 13:30:00</v>
      </c>
      <c r="F271" t="str">
        <v>2025/03/12 13:30:00</v>
      </c>
      <c r="G271">
        <f t="shared" si="9"/>
        <v>45728</v>
      </c>
    </row>
    <row r="272" spans="1:7">
      <c r="A272" s="1">
        <v>45757</v>
      </c>
      <c r="B272">
        <v>2.5</v>
      </c>
      <c r="C272">
        <v>2.4</v>
      </c>
      <c r="D272" t="str">
        <f t="shared" si="8"/>
        <v>2025/04/10 14:30:00</v>
      </c>
      <c r="F272" t="str">
        <v>2025/04/10 14:30:00</v>
      </c>
      <c r="G272">
        <f t="shared" si="9"/>
        <v>45757</v>
      </c>
    </row>
    <row r="273" spans="1:7">
      <c r="A273" s="1">
        <v>45790</v>
      </c>
      <c r="B273">
        <v>2.4</v>
      </c>
      <c r="C273">
        <v>2.2999999999999998</v>
      </c>
      <c r="D273" t="str">
        <f t="shared" si="8"/>
        <v>2025/05/13 14:30:00</v>
      </c>
      <c r="F273" t="str">
        <v>2025/05/13 14:30:00</v>
      </c>
      <c r="G273">
        <f t="shared" si="9"/>
        <v>45790</v>
      </c>
    </row>
    <row r="274" spans="1:7">
      <c r="A274" s="1">
        <v>45819</v>
      </c>
      <c r="B274">
        <v>2.4</v>
      </c>
      <c r="C274">
        <v>2.4</v>
      </c>
      <c r="D274" t="str">
        <f t="shared" si="8"/>
        <v>2025/06/11 14:30:00</v>
      </c>
      <c r="F274" t="str">
        <v>2025/06/11 14:30:00</v>
      </c>
      <c r="G274">
        <f t="shared" si="9"/>
        <v>45819</v>
      </c>
    </row>
    <row r="275" spans="1:7">
      <c r="A275" s="1">
        <v>45853</v>
      </c>
      <c r="B275">
        <v>2.6</v>
      </c>
      <c r="C275">
        <v>2.7</v>
      </c>
      <c r="D275" t="str">
        <f t="shared" si="8"/>
        <v>2025/07/15 14:30:00</v>
      </c>
      <c r="F275" t="str">
        <v>2025/07/15 14:30:00</v>
      </c>
      <c r="G275">
        <f t="shared" si="9"/>
        <v>45853</v>
      </c>
    </row>
    <row r="276" spans="1:7">
      <c r="A276" s="1">
        <v>45881</v>
      </c>
      <c r="B276">
        <v>2.8</v>
      </c>
      <c r="C276">
        <v>2.7</v>
      </c>
      <c r="D276" t="str">
        <f t="shared" si="8"/>
        <v>2025/08/12 14:30:00</v>
      </c>
      <c r="F276" t="str">
        <v>2025/08/12 14:30:00</v>
      </c>
      <c r="G276">
        <f t="shared" si="9"/>
        <v>45881</v>
      </c>
    </row>
    <row r="277" spans="1:7">
      <c r="A277" s="1">
        <v>45911</v>
      </c>
      <c r="B277">
        <v>2.9</v>
      </c>
      <c r="C277">
        <v>2.9</v>
      </c>
      <c r="D277" t="str">
        <f t="shared" si="8"/>
        <v>2025/09/11 14:30:00</v>
      </c>
      <c r="F277" t="str">
        <v>2025/09/11 14:30:00</v>
      </c>
      <c r="G277">
        <f t="shared" si="9"/>
        <v>45911</v>
      </c>
    </row>
    <row r="278" spans="1:7">
      <c r="A278" s="1">
        <v>45954</v>
      </c>
      <c r="B278">
        <v>3.1</v>
      </c>
      <c r="C278">
        <v>3</v>
      </c>
      <c r="D278" t="str">
        <f t="shared" si="8"/>
        <v>2025/10/24 14:30:00</v>
      </c>
      <c r="F278" t="str">
        <v>2025/10/24 14:30:00</v>
      </c>
      <c r="G278">
        <f t="shared" si="9"/>
        <v>45954</v>
      </c>
    </row>
    <row r="279" spans="1:7">
      <c r="A279" s="1">
        <v>46009</v>
      </c>
      <c r="B279">
        <v>3.1</v>
      </c>
      <c r="C279">
        <v>2.7</v>
      </c>
      <c r="D279" t="str">
        <f t="shared" si="8"/>
        <v>2025/12/18 14:30:00</v>
      </c>
      <c r="F279" t="str">
        <v>2025/12/18 14:30:00</v>
      </c>
      <c r="G279">
        <f t="shared" si="9"/>
        <v>46009</v>
      </c>
    </row>
    <row r="280" spans="1:7">
      <c r="A280" s="1">
        <v>46035</v>
      </c>
      <c r="B280">
        <v>2.7</v>
      </c>
      <c r="C280">
        <v>2.7</v>
      </c>
      <c r="D280" t="str">
        <f t="shared" si="8"/>
        <v>2026/01/13 14:30:00</v>
      </c>
      <c r="F280" t="str">
        <v>2026/01/13 14:30:00</v>
      </c>
      <c r="G280">
        <f t="shared" si="9"/>
        <v>46035</v>
      </c>
    </row>
    <row r="281" spans="1:7">
      <c r="A281" s="1">
        <v>46066</v>
      </c>
      <c r="B281">
        <v>2.5</v>
      </c>
      <c r="C281">
        <v>2.4</v>
      </c>
      <c r="D281" t="str">
        <f t="shared" si="8"/>
        <v>2026/02/13 14:30:00</v>
      </c>
      <c r="F281" t="str">
        <v>2026/02/13 14:30:00</v>
      </c>
      <c r="G281">
        <f t="shared" si="9"/>
        <v>46066</v>
      </c>
    </row>
    <row r="282" spans="1:7">
      <c r="A282" s="1">
        <v>46092</v>
      </c>
      <c r="B282">
        <v>2.4</v>
      </c>
      <c r="C282">
        <v>2.4</v>
      </c>
      <c r="D282" t="str">
        <f t="shared" si="8"/>
        <v>2026/03/11 13:30:00</v>
      </c>
      <c r="F282" t="str">
        <v>2026/03/11 13:30:00</v>
      </c>
      <c r="G282">
        <f t="shared" si="9"/>
        <v>46092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D699-7C48-4FA1-9E9E-B5B3DE889AD2}">
  <dimension ref="A1:G315"/>
  <sheetViews>
    <sheetView workbookViewId="0">
      <selection activeCell="F3" sqref="F3"/>
    </sheetView>
  </sheetViews>
  <sheetFormatPr defaultRowHeight="15"/>
  <cols>
    <col min="1" max="1" width="11" customWidth="1"/>
    <col min="4" max="4" width="20.140625" customWidth="1"/>
    <col min="6" max="6" width="18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</row>
    <row r="2" spans="1:7">
      <c r="A2" s="1" cm="1">
        <f t="array" ref="A2:C315">_xll.BDH("USURTOT Index", "BN_SURVEY_MEDIAN, ACTUAL_RELEASE", "2000-01-01", "2026-03-19","RELEASE_DATE_OVERRIDE", "1")</f>
        <v>36532</v>
      </c>
      <c r="B2">
        <v>4.0999999999999996</v>
      </c>
      <c r="C2">
        <v>4.0999999999999996</v>
      </c>
      <c r="D2" t="str">
        <f>_xlfn.XLOOKUP(A2,$G:$G,$F:$F,"")</f>
        <v>2000/01/07 14:30:00</v>
      </c>
      <c r="F2" t="str" cm="1">
        <f t="array" ref="F2:F315">_xll.BDS("USURTOT Index","ECO_FUTURE_RELEASE_DATE_LIST","START_DT=20000101","END_DT=20260319", "TIME_ZONE_OVERRIDE=24")</f>
        <v>2000/01/07 14:30:00</v>
      </c>
      <c r="G2">
        <f>INT(F2)</f>
        <v>36532</v>
      </c>
    </row>
    <row r="3" spans="1:7">
      <c r="A3" s="1">
        <v>36560</v>
      </c>
      <c r="B3">
        <v>4</v>
      </c>
      <c r="C3">
        <v>4</v>
      </c>
      <c r="D3" t="str">
        <f t="shared" ref="D3:D66" si="0">_xlfn.XLOOKUP(A3,$G:$G,$F:$F,"")</f>
        <v>2000/02/04 14:30:00</v>
      </c>
      <c r="F3" t="str">
        <v>2000/02/04 14:30:00</v>
      </c>
      <c r="G3">
        <f t="shared" ref="G3:G66" si="1">INT(F3)</f>
        <v>36560</v>
      </c>
    </row>
    <row r="4" spans="1:7">
      <c r="A4" s="1">
        <v>36588</v>
      </c>
      <c r="B4">
        <v>4</v>
      </c>
      <c r="C4">
        <v>4.0999999999999996</v>
      </c>
      <c r="D4" t="str">
        <f t="shared" si="0"/>
        <v>2000/03/03 14:30:00</v>
      </c>
      <c r="F4" t="str">
        <v>2000/03/03 14:30:00</v>
      </c>
      <c r="G4">
        <f t="shared" si="1"/>
        <v>36588</v>
      </c>
    </row>
    <row r="5" spans="1:7">
      <c r="A5" s="1">
        <v>36623</v>
      </c>
      <c r="B5">
        <v>4</v>
      </c>
      <c r="C5">
        <v>4.0999999999999996</v>
      </c>
      <c r="D5" t="str">
        <f t="shared" si="0"/>
        <v>2000/04/07 14:30:00</v>
      </c>
      <c r="F5" t="str">
        <v>2000/04/07 14:30:00</v>
      </c>
      <c r="G5">
        <f t="shared" si="1"/>
        <v>36623</v>
      </c>
    </row>
    <row r="6" spans="1:7">
      <c r="A6" s="1">
        <v>36651</v>
      </c>
      <c r="B6">
        <v>4</v>
      </c>
      <c r="C6">
        <v>3.9</v>
      </c>
      <c r="D6" t="str">
        <f t="shared" si="0"/>
        <v>2000/05/05 14:30:00</v>
      </c>
      <c r="F6" t="str">
        <v>2000/05/05 14:30:00</v>
      </c>
      <c r="G6">
        <f t="shared" si="1"/>
        <v>36651</v>
      </c>
    </row>
    <row r="7" spans="1:7">
      <c r="A7" s="1">
        <v>36679</v>
      </c>
      <c r="B7">
        <v>3.9</v>
      </c>
      <c r="C7">
        <v>4.0999999999999996</v>
      </c>
      <c r="D7" t="str">
        <f t="shared" si="0"/>
        <v>2000/06/02 14:30:00</v>
      </c>
      <c r="F7" t="str">
        <v>2000/06/02 14:30:00</v>
      </c>
      <c r="G7">
        <f t="shared" si="1"/>
        <v>36679</v>
      </c>
    </row>
    <row r="8" spans="1:7">
      <c r="A8" s="1">
        <v>36714</v>
      </c>
      <c r="B8">
        <v>4</v>
      </c>
      <c r="C8">
        <v>4</v>
      </c>
      <c r="D8" t="str">
        <f t="shared" si="0"/>
        <v>2000/07/07 14:30:00</v>
      </c>
      <c r="F8" t="str">
        <v>2000/07/07 14:30:00</v>
      </c>
      <c r="G8">
        <f t="shared" si="1"/>
        <v>36714</v>
      </c>
    </row>
    <row r="9" spans="1:7">
      <c r="A9" s="1">
        <v>36742</v>
      </c>
      <c r="B9">
        <v>4</v>
      </c>
      <c r="C9">
        <v>4</v>
      </c>
      <c r="D9" t="str">
        <f t="shared" si="0"/>
        <v>2000/08/04 14:30:00</v>
      </c>
      <c r="F9" t="str">
        <v>2000/08/04 14:30:00</v>
      </c>
      <c r="G9">
        <f t="shared" si="1"/>
        <v>36742</v>
      </c>
    </row>
    <row r="10" spans="1:7">
      <c r="A10" s="1">
        <v>36770</v>
      </c>
      <c r="B10">
        <v>4</v>
      </c>
      <c r="C10">
        <v>4.0999999999999996</v>
      </c>
      <c r="D10" t="str">
        <f t="shared" si="0"/>
        <v>2000/09/01 14:30:00</v>
      </c>
      <c r="F10" t="str">
        <v>2000/09/01 14:30:00</v>
      </c>
      <c r="G10">
        <f t="shared" si="1"/>
        <v>36770</v>
      </c>
    </row>
    <row r="11" spans="1:7">
      <c r="A11" s="1">
        <v>36805</v>
      </c>
      <c r="B11">
        <v>4.0999999999999996</v>
      </c>
      <c r="C11">
        <v>3.9</v>
      </c>
      <c r="D11" t="str">
        <f t="shared" si="0"/>
        <v>2000/10/06 14:30:00</v>
      </c>
      <c r="F11" t="str">
        <v>2000/10/06 14:30:00</v>
      </c>
      <c r="G11">
        <f t="shared" si="1"/>
        <v>36805</v>
      </c>
    </row>
    <row r="12" spans="1:7">
      <c r="A12" s="1">
        <v>36833</v>
      </c>
      <c r="B12">
        <v>4</v>
      </c>
      <c r="C12">
        <v>3.9</v>
      </c>
      <c r="D12" t="str">
        <f t="shared" si="0"/>
        <v>2000/11/03 14:30:00</v>
      </c>
      <c r="F12" t="str">
        <v>2000/11/03 14:30:00</v>
      </c>
      <c r="G12">
        <f t="shared" si="1"/>
        <v>36833</v>
      </c>
    </row>
    <row r="13" spans="1:7">
      <c r="A13" s="1">
        <v>36868</v>
      </c>
      <c r="B13">
        <v>4</v>
      </c>
      <c r="C13">
        <v>4</v>
      </c>
      <c r="D13" t="str">
        <f t="shared" si="0"/>
        <v>2000/12/08 14:30:00</v>
      </c>
      <c r="F13" t="str">
        <v>2000/12/08 14:30:00</v>
      </c>
      <c r="G13">
        <f t="shared" si="1"/>
        <v>36868</v>
      </c>
    </row>
    <row r="14" spans="1:7">
      <c r="A14" s="1">
        <v>36896</v>
      </c>
      <c r="B14">
        <v>4.0999999999999996</v>
      </c>
      <c r="C14">
        <v>4</v>
      </c>
      <c r="D14" t="str">
        <f t="shared" si="0"/>
        <v>2001/01/05 14:30:00</v>
      </c>
      <c r="F14" t="str">
        <v>2001/01/05 14:30:00</v>
      </c>
      <c r="G14">
        <f t="shared" si="1"/>
        <v>36896</v>
      </c>
    </row>
    <row r="15" spans="1:7">
      <c r="A15" s="1">
        <v>36924</v>
      </c>
      <c r="B15">
        <v>4.0999999999999996</v>
      </c>
      <c r="C15">
        <v>4.2</v>
      </c>
      <c r="D15" t="str">
        <f t="shared" si="0"/>
        <v>2001/02/02 14:30:00</v>
      </c>
      <c r="F15" t="str">
        <v>2001/02/02 14:30:00</v>
      </c>
      <c r="G15">
        <f t="shared" si="1"/>
        <v>36924</v>
      </c>
    </row>
    <row r="16" spans="1:7">
      <c r="A16" s="1">
        <v>36959</v>
      </c>
      <c r="B16">
        <v>4.2</v>
      </c>
      <c r="C16">
        <v>4.2</v>
      </c>
      <c r="D16" t="str">
        <f t="shared" si="0"/>
        <v>2001/03/09 14:30:00</v>
      </c>
      <c r="F16" t="str">
        <v>2001/03/09 14:30:00</v>
      </c>
      <c r="G16">
        <f t="shared" si="1"/>
        <v>36959</v>
      </c>
    </row>
    <row r="17" spans="1:7">
      <c r="A17" s="1">
        <v>36987</v>
      </c>
      <c r="B17">
        <v>4.3</v>
      </c>
      <c r="C17">
        <v>4.3</v>
      </c>
      <c r="D17" t="str">
        <f t="shared" si="0"/>
        <v>2001/04/06 14:30:00</v>
      </c>
      <c r="F17" t="str">
        <v>2001/04/06 14:30:00</v>
      </c>
      <c r="G17">
        <f t="shared" si="1"/>
        <v>36987</v>
      </c>
    </row>
    <row r="18" spans="1:7">
      <c r="A18" s="1">
        <v>37015</v>
      </c>
      <c r="B18">
        <v>4.4000000000000004</v>
      </c>
      <c r="C18">
        <v>4.5</v>
      </c>
      <c r="D18" t="str">
        <f t="shared" si="0"/>
        <v>2001/05/04 14:30:00</v>
      </c>
      <c r="F18" t="str">
        <v>2001/05/04 14:30:00</v>
      </c>
      <c r="G18">
        <f t="shared" si="1"/>
        <v>37015</v>
      </c>
    </row>
    <row r="19" spans="1:7">
      <c r="A19" s="1">
        <v>37043</v>
      </c>
      <c r="B19">
        <v>4.5999999999999996</v>
      </c>
      <c r="C19">
        <v>4.4000000000000004</v>
      </c>
      <c r="D19" t="str">
        <f t="shared" si="0"/>
        <v>2001/06/01 14:30:00</v>
      </c>
      <c r="F19" t="str">
        <v>2001/06/01 14:30:00</v>
      </c>
      <c r="G19">
        <f t="shared" si="1"/>
        <v>37043</v>
      </c>
    </row>
    <row r="20" spans="1:7">
      <c r="A20" s="1">
        <v>37078</v>
      </c>
      <c r="B20">
        <v>4.5999999999999996</v>
      </c>
      <c r="C20">
        <v>4.5</v>
      </c>
      <c r="D20" t="str">
        <f t="shared" si="0"/>
        <v>2001/07/06 14:30:00</v>
      </c>
      <c r="F20" t="str">
        <v>2001/07/06 14:30:00</v>
      </c>
      <c r="G20">
        <f t="shared" si="1"/>
        <v>37078</v>
      </c>
    </row>
    <row r="21" spans="1:7">
      <c r="A21" s="1">
        <v>37106</v>
      </c>
      <c r="B21">
        <v>4.7</v>
      </c>
      <c r="C21">
        <v>4.5</v>
      </c>
      <c r="D21" t="str">
        <f t="shared" si="0"/>
        <v>2001/08/03 14:30:00</v>
      </c>
      <c r="F21" t="str">
        <v>2001/08/03 14:30:00</v>
      </c>
      <c r="G21">
        <f t="shared" si="1"/>
        <v>37106</v>
      </c>
    </row>
    <row r="22" spans="1:7">
      <c r="A22" s="1">
        <v>37141</v>
      </c>
      <c r="B22">
        <v>4.5999999999999996</v>
      </c>
      <c r="C22">
        <v>4.9000000000000004</v>
      </c>
      <c r="D22" t="str">
        <f t="shared" si="0"/>
        <v>2001/09/07 14:30:00</v>
      </c>
      <c r="F22" t="str">
        <v>2001/09/07 14:30:00</v>
      </c>
      <c r="G22">
        <f t="shared" si="1"/>
        <v>37141</v>
      </c>
    </row>
    <row r="23" spans="1:7">
      <c r="A23" s="1">
        <v>37169</v>
      </c>
      <c r="B23">
        <v>5</v>
      </c>
      <c r="C23">
        <v>4.9000000000000004</v>
      </c>
      <c r="D23" t="str">
        <f t="shared" si="0"/>
        <v>2001/10/05 14:30:00</v>
      </c>
      <c r="F23" t="str">
        <v>2001/10/05 14:30:00</v>
      </c>
      <c r="G23">
        <f t="shared" si="1"/>
        <v>37169</v>
      </c>
    </row>
    <row r="24" spans="1:7">
      <c r="A24" s="1">
        <v>37197</v>
      </c>
      <c r="B24">
        <v>5.2</v>
      </c>
      <c r="C24">
        <v>5.4</v>
      </c>
      <c r="D24" t="str">
        <f t="shared" si="0"/>
        <v>2001/11/02 14:30:00</v>
      </c>
      <c r="F24" t="str">
        <v>2001/11/02 14:30:00</v>
      </c>
      <c r="G24">
        <f t="shared" si="1"/>
        <v>37197</v>
      </c>
    </row>
    <row r="25" spans="1:7">
      <c r="A25" s="1">
        <v>37232</v>
      </c>
      <c r="B25">
        <v>5.6</v>
      </c>
      <c r="C25">
        <v>5.7</v>
      </c>
      <c r="D25" t="str">
        <f t="shared" si="0"/>
        <v>2001/12/07 14:30:00</v>
      </c>
      <c r="F25" t="str">
        <v>2001/12/07 14:30:00</v>
      </c>
      <c r="G25">
        <f t="shared" si="1"/>
        <v>37232</v>
      </c>
    </row>
    <row r="26" spans="1:7">
      <c r="A26" s="1">
        <v>37260</v>
      </c>
      <c r="B26">
        <v>5.8</v>
      </c>
      <c r="C26">
        <v>5.8</v>
      </c>
      <c r="D26" t="str">
        <f t="shared" si="0"/>
        <v>2002/01/04 14:30:00</v>
      </c>
      <c r="F26" t="str">
        <v>2002/01/04 14:30:00</v>
      </c>
      <c r="G26">
        <f t="shared" si="1"/>
        <v>37260</v>
      </c>
    </row>
    <row r="27" spans="1:7">
      <c r="A27" s="1">
        <v>37288</v>
      </c>
      <c r="B27">
        <v>5.9</v>
      </c>
      <c r="C27">
        <v>5.6</v>
      </c>
      <c r="D27" t="str">
        <f t="shared" si="0"/>
        <v>2002/02/01 14:30:00</v>
      </c>
      <c r="F27" t="str">
        <v>2002/02/01 14:30:00</v>
      </c>
      <c r="G27">
        <f t="shared" si="1"/>
        <v>37288</v>
      </c>
    </row>
    <row r="28" spans="1:7">
      <c r="A28" s="1">
        <v>37323</v>
      </c>
      <c r="B28">
        <v>5.8</v>
      </c>
      <c r="C28">
        <v>5.5</v>
      </c>
      <c r="D28" t="str">
        <f t="shared" si="0"/>
        <v>2002/03/08 14:30:00</v>
      </c>
      <c r="F28" t="str">
        <v>2002/03/08 14:30:00</v>
      </c>
      <c r="G28">
        <f t="shared" si="1"/>
        <v>37323</v>
      </c>
    </row>
    <row r="29" spans="1:7">
      <c r="A29" s="1">
        <v>37351</v>
      </c>
      <c r="B29">
        <v>5.6</v>
      </c>
      <c r="C29">
        <v>5.7</v>
      </c>
      <c r="D29" t="str">
        <f t="shared" si="0"/>
        <v>2002/04/05 15:30:00</v>
      </c>
      <c r="F29" t="str">
        <v>2002/04/05 15:30:00</v>
      </c>
      <c r="G29">
        <f t="shared" si="1"/>
        <v>37351</v>
      </c>
    </row>
    <row r="30" spans="1:7">
      <c r="A30" s="1">
        <v>37379</v>
      </c>
      <c r="B30">
        <v>5.8</v>
      </c>
      <c r="C30">
        <v>6</v>
      </c>
      <c r="D30" t="str">
        <f t="shared" si="0"/>
        <v>2002/05/03 14:30:00</v>
      </c>
      <c r="F30" t="str">
        <v>2002/05/03 14:30:00</v>
      </c>
      <c r="G30">
        <f t="shared" si="1"/>
        <v>37379</v>
      </c>
    </row>
    <row r="31" spans="1:7">
      <c r="A31" s="1">
        <v>37414</v>
      </c>
      <c r="B31">
        <v>6.1</v>
      </c>
      <c r="C31">
        <v>5.8</v>
      </c>
      <c r="D31" t="str">
        <f t="shared" si="0"/>
        <v>2002/06/07 14:30:00</v>
      </c>
      <c r="F31" t="str">
        <v>2002/06/07 14:30:00</v>
      </c>
      <c r="G31">
        <f t="shared" si="1"/>
        <v>37414</v>
      </c>
    </row>
    <row r="32" spans="1:7">
      <c r="A32" s="1">
        <v>37442</v>
      </c>
      <c r="B32">
        <v>5.9</v>
      </c>
      <c r="C32">
        <v>5.9</v>
      </c>
      <c r="D32" t="str">
        <f t="shared" si="0"/>
        <v>2002/07/05 14:30:00</v>
      </c>
      <c r="F32" t="str">
        <v>2002/07/05 14:30:00</v>
      </c>
      <c r="G32">
        <f t="shared" si="1"/>
        <v>37442</v>
      </c>
    </row>
    <row r="33" spans="1:7">
      <c r="A33" s="1">
        <v>37470</v>
      </c>
      <c r="B33">
        <v>5.9</v>
      </c>
      <c r="C33">
        <v>5.9</v>
      </c>
      <c r="D33" t="str">
        <f t="shared" si="0"/>
        <v>2002/08/02 14:30:00</v>
      </c>
      <c r="F33" t="str">
        <v>2002/08/02 14:30:00</v>
      </c>
      <c r="G33">
        <f t="shared" si="1"/>
        <v>37470</v>
      </c>
    </row>
    <row r="34" spans="1:7">
      <c r="A34" s="1">
        <v>37505</v>
      </c>
      <c r="B34">
        <v>6</v>
      </c>
      <c r="C34">
        <v>5.7</v>
      </c>
      <c r="D34" t="str">
        <f t="shared" si="0"/>
        <v>2002/09/06 14:30:00</v>
      </c>
      <c r="F34" t="str">
        <v>2002/09/06 14:30:00</v>
      </c>
      <c r="G34">
        <f t="shared" si="1"/>
        <v>37505</v>
      </c>
    </row>
    <row r="35" spans="1:7">
      <c r="A35" s="1">
        <v>37533</v>
      </c>
      <c r="B35">
        <v>5.9</v>
      </c>
      <c r="C35">
        <v>5.6</v>
      </c>
      <c r="D35" t="str">
        <f t="shared" si="0"/>
        <v>2002/10/04 14:30:00</v>
      </c>
      <c r="F35" t="str">
        <v>2002/10/04 14:30:00</v>
      </c>
      <c r="G35">
        <f t="shared" si="1"/>
        <v>37533</v>
      </c>
    </row>
    <row r="36" spans="1:7">
      <c r="A36" s="1">
        <v>37561</v>
      </c>
      <c r="B36">
        <v>5.8</v>
      </c>
      <c r="C36">
        <v>5.7</v>
      </c>
      <c r="D36" t="str">
        <f t="shared" si="0"/>
        <v>2002/11/01 14:30:00</v>
      </c>
      <c r="F36" t="str">
        <v>2002/11/01 14:30:00</v>
      </c>
      <c r="G36">
        <f t="shared" si="1"/>
        <v>37561</v>
      </c>
    </row>
    <row r="37" spans="1:7">
      <c r="A37" s="1">
        <v>37596</v>
      </c>
      <c r="B37">
        <v>5.8</v>
      </c>
      <c r="C37">
        <v>6</v>
      </c>
      <c r="D37" t="str">
        <f t="shared" si="0"/>
        <v>2002/12/06 14:30:00</v>
      </c>
      <c r="F37" t="str">
        <v>2002/12/06 14:30:00</v>
      </c>
      <c r="G37">
        <f t="shared" si="1"/>
        <v>37596</v>
      </c>
    </row>
    <row r="38" spans="1:7">
      <c r="A38" s="1">
        <v>37631</v>
      </c>
      <c r="B38">
        <v>6</v>
      </c>
      <c r="C38">
        <v>6</v>
      </c>
      <c r="D38" t="str">
        <f t="shared" si="0"/>
        <v>2003/01/10 14:30:00</v>
      </c>
      <c r="F38" t="str">
        <v>2003/01/10 14:30:00</v>
      </c>
      <c r="G38">
        <f t="shared" si="1"/>
        <v>37631</v>
      </c>
    </row>
    <row r="39" spans="1:7">
      <c r="A39" s="1">
        <v>37659</v>
      </c>
      <c r="B39">
        <v>6</v>
      </c>
      <c r="C39">
        <v>5.7</v>
      </c>
      <c r="D39" t="str">
        <f t="shared" si="0"/>
        <v>2003/02/07 14:30:00</v>
      </c>
      <c r="F39" t="str">
        <v>2003/02/07 14:30:00</v>
      </c>
      <c r="G39">
        <f t="shared" si="1"/>
        <v>37659</v>
      </c>
    </row>
    <row r="40" spans="1:7">
      <c r="A40" s="1">
        <v>37687</v>
      </c>
      <c r="B40">
        <v>5.8</v>
      </c>
      <c r="C40">
        <v>5.8</v>
      </c>
      <c r="D40" t="str">
        <f t="shared" si="0"/>
        <v>2003/03/07 14:30:00</v>
      </c>
      <c r="F40" t="str">
        <v>2003/03/07 14:30:00</v>
      </c>
      <c r="G40">
        <f t="shared" si="1"/>
        <v>37687</v>
      </c>
    </row>
    <row r="41" spans="1:7">
      <c r="A41" s="1">
        <v>37715</v>
      </c>
      <c r="B41">
        <v>5.9</v>
      </c>
      <c r="C41">
        <v>5.8</v>
      </c>
      <c r="D41" t="str">
        <f t="shared" si="0"/>
        <v>2003/04/04 15:30:00</v>
      </c>
      <c r="F41" t="str">
        <v>2003/04/04 15:30:00</v>
      </c>
      <c r="G41">
        <f t="shared" si="1"/>
        <v>37715</v>
      </c>
    </row>
    <row r="42" spans="1:7">
      <c r="A42" s="1">
        <v>37743</v>
      </c>
      <c r="B42">
        <v>5.9</v>
      </c>
      <c r="C42">
        <v>6</v>
      </c>
      <c r="D42" t="str">
        <f t="shared" si="0"/>
        <v>2003/05/02 14:30:00</v>
      </c>
      <c r="F42" t="str">
        <v>2003/05/02 14:30:00</v>
      </c>
      <c r="G42">
        <f t="shared" si="1"/>
        <v>37743</v>
      </c>
    </row>
    <row r="43" spans="1:7">
      <c r="A43" s="1">
        <v>37778</v>
      </c>
      <c r="B43">
        <v>6.1</v>
      </c>
      <c r="C43">
        <v>6.1</v>
      </c>
      <c r="D43" t="str">
        <f t="shared" si="0"/>
        <v>2003/06/06 14:30:00</v>
      </c>
      <c r="F43" t="str">
        <v>2003/06/06 14:30:00</v>
      </c>
      <c r="G43">
        <f t="shared" si="1"/>
        <v>37778</v>
      </c>
    </row>
    <row r="44" spans="1:7">
      <c r="A44" s="1">
        <v>37805</v>
      </c>
      <c r="B44">
        <v>6.2</v>
      </c>
      <c r="C44">
        <v>6.4</v>
      </c>
      <c r="D44" t="str">
        <f t="shared" si="0"/>
        <v>2003/07/03 14:30:00</v>
      </c>
      <c r="F44" t="str">
        <v>2003/07/03 14:30:00</v>
      </c>
      <c r="G44">
        <f t="shared" si="1"/>
        <v>37805</v>
      </c>
    </row>
    <row r="45" spans="1:7">
      <c r="A45" s="1">
        <v>37834</v>
      </c>
      <c r="B45">
        <v>6.3</v>
      </c>
      <c r="C45">
        <v>6.2</v>
      </c>
      <c r="D45" t="str">
        <f t="shared" si="0"/>
        <v>2003/08/01 14:30:00</v>
      </c>
      <c r="F45" t="str">
        <v>2003/08/01 14:30:00</v>
      </c>
      <c r="G45">
        <f t="shared" si="1"/>
        <v>37834</v>
      </c>
    </row>
    <row r="46" spans="1:7">
      <c r="A46" s="1">
        <v>37869</v>
      </c>
      <c r="B46">
        <v>6.2</v>
      </c>
      <c r="C46">
        <v>6.1</v>
      </c>
      <c r="D46" t="str">
        <f t="shared" si="0"/>
        <v>2003/09/05 14:30:00</v>
      </c>
      <c r="F46" t="str">
        <v>2003/09/05 14:30:00</v>
      </c>
      <c r="G46">
        <f t="shared" si="1"/>
        <v>37869</v>
      </c>
    </row>
    <row r="47" spans="1:7">
      <c r="A47" s="1">
        <v>37897</v>
      </c>
      <c r="B47">
        <v>6.2</v>
      </c>
      <c r="C47">
        <v>6.1</v>
      </c>
      <c r="D47" t="str">
        <f t="shared" si="0"/>
        <v>2003/10/03 14:30:00</v>
      </c>
      <c r="F47" t="str">
        <v>2003/10/03 14:30:00</v>
      </c>
      <c r="G47">
        <f t="shared" si="1"/>
        <v>37897</v>
      </c>
    </row>
    <row r="48" spans="1:7">
      <c r="A48" s="1">
        <v>37932</v>
      </c>
      <c r="B48">
        <v>6.1</v>
      </c>
      <c r="C48">
        <v>6</v>
      </c>
      <c r="D48" t="str">
        <f t="shared" si="0"/>
        <v>2003/11/07 14:30:00</v>
      </c>
      <c r="F48" t="str">
        <v>2003/11/07 14:30:00</v>
      </c>
      <c r="G48">
        <f t="shared" si="1"/>
        <v>37932</v>
      </c>
    </row>
    <row r="49" spans="1:7">
      <c r="A49" s="1">
        <v>37960</v>
      </c>
      <c r="B49">
        <v>6</v>
      </c>
      <c r="C49">
        <v>5.9</v>
      </c>
      <c r="D49" t="str">
        <f t="shared" si="0"/>
        <v>2003/12/05 14:30:00</v>
      </c>
      <c r="F49" t="str">
        <v>2003/12/05 14:30:00</v>
      </c>
      <c r="G49">
        <f t="shared" si="1"/>
        <v>37960</v>
      </c>
    </row>
    <row r="50" spans="1:7">
      <c r="A50" s="1">
        <v>37995</v>
      </c>
      <c r="B50">
        <v>5.9</v>
      </c>
      <c r="C50">
        <v>5.7</v>
      </c>
      <c r="D50" t="str">
        <f t="shared" si="0"/>
        <v>2004/01/09 14:30:00</v>
      </c>
      <c r="F50" t="str">
        <v>2004/01/09 14:30:00</v>
      </c>
      <c r="G50">
        <f t="shared" si="1"/>
        <v>37995</v>
      </c>
    </row>
    <row r="51" spans="1:7">
      <c r="A51" s="1">
        <v>38023</v>
      </c>
      <c r="B51">
        <v>5.7</v>
      </c>
      <c r="C51">
        <v>5.6</v>
      </c>
      <c r="D51" t="str">
        <f t="shared" si="0"/>
        <v>2004/02/06 14:30:00</v>
      </c>
      <c r="F51" t="str">
        <v>2004/02/06 14:30:00</v>
      </c>
      <c r="G51">
        <f t="shared" si="1"/>
        <v>38023</v>
      </c>
    </row>
    <row r="52" spans="1:7">
      <c r="A52" s="1">
        <v>38051</v>
      </c>
      <c r="B52">
        <v>5.6</v>
      </c>
      <c r="C52">
        <v>5.6</v>
      </c>
      <c r="D52" t="str">
        <f t="shared" si="0"/>
        <v>2004/03/05 14:30:00</v>
      </c>
      <c r="F52" t="str">
        <v>2004/03/05 14:30:00</v>
      </c>
      <c r="G52">
        <f t="shared" si="1"/>
        <v>38051</v>
      </c>
    </row>
    <row r="53" spans="1:7">
      <c r="A53" s="1">
        <v>38079</v>
      </c>
      <c r="B53">
        <v>5.6</v>
      </c>
      <c r="C53">
        <v>5.7</v>
      </c>
      <c r="D53" t="str">
        <f t="shared" si="0"/>
        <v>2004/04/02 15:30:00</v>
      </c>
      <c r="F53" t="str">
        <v>2004/04/02 15:30:00</v>
      </c>
      <c r="G53">
        <f t="shared" si="1"/>
        <v>38079</v>
      </c>
    </row>
    <row r="54" spans="1:7">
      <c r="A54" s="1">
        <v>38114</v>
      </c>
      <c r="B54">
        <v>5.7</v>
      </c>
      <c r="C54">
        <v>5.6</v>
      </c>
      <c r="D54" t="str">
        <f t="shared" si="0"/>
        <v>2004/05/07 14:30:00</v>
      </c>
      <c r="F54" t="str">
        <v>2004/05/07 14:30:00</v>
      </c>
      <c r="G54">
        <f t="shared" si="1"/>
        <v>38114</v>
      </c>
    </row>
    <row r="55" spans="1:7">
      <c r="A55" s="1">
        <v>38142</v>
      </c>
      <c r="B55">
        <v>5.6</v>
      </c>
      <c r="C55">
        <v>5.6</v>
      </c>
      <c r="D55" t="str">
        <f t="shared" si="0"/>
        <v>2004/06/04 14:30:00</v>
      </c>
      <c r="F55" t="str">
        <v>2004/06/04 14:30:00</v>
      </c>
      <c r="G55">
        <f t="shared" si="1"/>
        <v>38142</v>
      </c>
    </row>
    <row r="56" spans="1:7">
      <c r="A56" s="1">
        <v>38170</v>
      </c>
      <c r="B56">
        <v>5.6</v>
      </c>
      <c r="C56">
        <v>5.6</v>
      </c>
      <c r="D56" t="str">
        <f t="shared" si="0"/>
        <v>2004/07/02 14:30:00</v>
      </c>
      <c r="F56" t="str">
        <v>2004/07/02 14:30:00</v>
      </c>
      <c r="G56">
        <f t="shared" si="1"/>
        <v>38170</v>
      </c>
    </row>
    <row r="57" spans="1:7">
      <c r="A57" s="1">
        <v>38205</v>
      </c>
      <c r="B57">
        <v>5.6</v>
      </c>
      <c r="C57">
        <v>5.5</v>
      </c>
      <c r="D57" t="str">
        <f t="shared" si="0"/>
        <v>2004/08/06 14:30:00</v>
      </c>
      <c r="F57" t="str">
        <v>2004/08/06 14:30:00</v>
      </c>
      <c r="G57">
        <f t="shared" si="1"/>
        <v>38205</v>
      </c>
    </row>
    <row r="58" spans="1:7">
      <c r="A58" s="1">
        <v>38233</v>
      </c>
      <c r="B58">
        <v>5.5</v>
      </c>
      <c r="C58">
        <v>5.4</v>
      </c>
      <c r="D58" t="str">
        <f t="shared" si="0"/>
        <v>2004/09/03 14:30:00</v>
      </c>
      <c r="F58" t="str">
        <v>2004/09/03 14:30:00</v>
      </c>
      <c r="G58">
        <f t="shared" si="1"/>
        <v>38233</v>
      </c>
    </row>
    <row r="59" spans="1:7">
      <c r="A59" s="1">
        <v>38268</v>
      </c>
      <c r="B59">
        <v>5.4</v>
      </c>
      <c r="C59">
        <v>5.4</v>
      </c>
      <c r="D59" t="str">
        <f t="shared" si="0"/>
        <v>2004/10/08 14:30:00</v>
      </c>
      <c r="F59" t="str">
        <v>2004/10/08 14:30:00</v>
      </c>
      <c r="G59">
        <f t="shared" si="1"/>
        <v>38268</v>
      </c>
    </row>
    <row r="60" spans="1:7">
      <c r="A60" s="1">
        <v>38296</v>
      </c>
      <c r="B60">
        <v>5.4</v>
      </c>
      <c r="C60">
        <v>5.5</v>
      </c>
      <c r="D60" t="str">
        <f t="shared" si="0"/>
        <v>2004/11/05 14:30:00</v>
      </c>
      <c r="F60" t="str">
        <v>2004/11/05 14:30:00</v>
      </c>
      <c r="G60">
        <f t="shared" si="1"/>
        <v>38296</v>
      </c>
    </row>
    <row r="61" spans="1:7">
      <c r="A61" s="1">
        <v>38324</v>
      </c>
      <c r="B61">
        <v>5.4</v>
      </c>
      <c r="C61">
        <v>5.4</v>
      </c>
      <c r="D61" t="str">
        <f t="shared" si="0"/>
        <v>2004/12/03 14:30:00</v>
      </c>
      <c r="F61" t="str">
        <v>2004/12/03 14:30:00</v>
      </c>
      <c r="G61">
        <f t="shared" si="1"/>
        <v>38324</v>
      </c>
    </row>
    <row r="62" spans="1:7">
      <c r="A62" s="1">
        <v>38359</v>
      </c>
      <c r="B62">
        <v>5.4</v>
      </c>
      <c r="C62">
        <v>5.4</v>
      </c>
      <c r="D62" t="str">
        <f t="shared" si="0"/>
        <v>2005/01/07 14:30:00</v>
      </c>
      <c r="F62" t="str">
        <v>2005/01/07 14:30:00</v>
      </c>
      <c r="G62">
        <f t="shared" si="1"/>
        <v>38359</v>
      </c>
    </row>
    <row r="63" spans="1:7">
      <c r="A63" s="1">
        <v>38387</v>
      </c>
      <c r="B63">
        <v>5.4</v>
      </c>
      <c r="C63">
        <v>5.2</v>
      </c>
      <c r="D63" t="str">
        <f t="shared" si="0"/>
        <v>2005/02/04 14:30:00</v>
      </c>
      <c r="F63" t="str">
        <v>2005/02/04 14:30:00</v>
      </c>
      <c r="G63">
        <f t="shared" si="1"/>
        <v>38387</v>
      </c>
    </row>
    <row r="64" spans="1:7">
      <c r="A64" s="1">
        <v>38415</v>
      </c>
      <c r="B64">
        <v>5.2</v>
      </c>
      <c r="C64">
        <v>5.4</v>
      </c>
      <c r="D64" t="str">
        <f t="shared" si="0"/>
        <v>2005/03/04 14:30:00</v>
      </c>
      <c r="F64" t="str">
        <v>2005/03/04 14:30:00</v>
      </c>
      <c r="G64">
        <f t="shared" si="1"/>
        <v>38415</v>
      </c>
    </row>
    <row r="65" spans="1:7">
      <c r="A65" s="1">
        <v>38443</v>
      </c>
      <c r="B65">
        <v>5.3</v>
      </c>
      <c r="C65">
        <v>5.2</v>
      </c>
      <c r="D65" t="str">
        <f t="shared" si="0"/>
        <v>2005/04/01 15:30:00</v>
      </c>
      <c r="F65" t="str">
        <v>2005/04/01 15:30:00</v>
      </c>
      <c r="G65">
        <f t="shared" si="1"/>
        <v>38443</v>
      </c>
    </row>
    <row r="66" spans="1:7">
      <c r="A66" s="1">
        <v>38478</v>
      </c>
      <c r="B66">
        <v>5.2</v>
      </c>
      <c r="C66">
        <v>5.2</v>
      </c>
      <c r="D66" t="str">
        <f t="shared" si="0"/>
        <v>2005/05/06 14:30:00</v>
      </c>
      <c r="F66" t="str">
        <v>2005/05/06 14:30:00</v>
      </c>
      <c r="G66">
        <f t="shared" si="1"/>
        <v>38478</v>
      </c>
    </row>
    <row r="67" spans="1:7">
      <c r="A67" s="1">
        <v>38506</v>
      </c>
      <c r="B67">
        <v>5.2</v>
      </c>
      <c r="C67">
        <v>5.0999999999999996</v>
      </c>
      <c r="D67" t="str">
        <f t="shared" ref="D67:D130" si="2">_xlfn.XLOOKUP(A67,$G:$G,$F:$F,"")</f>
        <v>2005/06/03 14:30:00</v>
      </c>
      <c r="F67" t="str">
        <v>2005/06/03 14:30:00</v>
      </c>
      <c r="G67">
        <f t="shared" ref="G67:G130" si="3">INT(F67)</f>
        <v>38506</v>
      </c>
    </row>
    <row r="68" spans="1:7">
      <c r="A68" s="1">
        <v>38541</v>
      </c>
      <c r="B68">
        <v>5.0999999999999996</v>
      </c>
      <c r="C68">
        <v>5</v>
      </c>
      <c r="D68" t="str">
        <f t="shared" si="2"/>
        <v>2005/07/08 14:30:00</v>
      </c>
      <c r="F68" t="str">
        <v>2005/07/08 14:30:00</v>
      </c>
      <c r="G68">
        <f t="shared" si="3"/>
        <v>38541</v>
      </c>
    </row>
    <row r="69" spans="1:7">
      <c r="A69" s="1">
        <v>38569</v>
      </c>
      <c r="B69">
        <v>5</v>
      </c>
      <c r="C69">
        <v>5</v>
      </c>
      <c r="D69" t="str">
        <f t="shared" si="2"/>
        <v>2005/08/05 14:30:00</v>
      </c>
      <c r="F69" t="str">
        <v>2005/08/05 14:30:00</v>
      </c>
      <c r="G69">
        <f t="shared" si="3"/>
        <v>38569</v>
      </c>
    </row>
    <row r="70" spans="1:7">
      <c r="A70" s="1">
        <v>38597</v>
      </c>
      <c r="B70">
        <v>5</v>
      </c>
      <c r="C70">
        <v>4.9000000000000004</v>
      </c>
      <c r="D70" t="str">
        <f t="shared" si="2"/>
        <v>2005/09/02 14:30:00</v>
      </c>
      <c r="F70" t="str">
        <v>2005/09/02 14:30:00</v>
      </c>
      <c r="G70">
        <f t="shared" si="3"/>
        <v>38597</v>
      </c>
    </row>
    <row r="71" spans="1:7">
      <c r="A71" s="1">
        <v>38632</v>
      </c>
      <c r="B71">
        <v>5</v>
      </c>
      <c r="C71">
        <v>5.0999999999999996</v>
      </c>
      <c r="D71" t="str">
        <f t="shared" si="2"/>
        <v>2005/10/07 14:30:00</v>
      </c>
      <c r="F71" t="str">
        <v>2005/10/07 14:30:00</v>
      </c>
      <c r="G71">
        <f t="shared" si="3"/>
        <v>38632</v>
      </c>
    </row>
    <row r="72" spans="1:7">
      <c r="A72" s="1">
        <v>38660</v>
      </c>
      <c r="B72">
        <v>5.0999999999999996</v>
      </c>
      <c r="C72">
        <v>5</v>
      </c>
      <c r="D72" t="str">
        <f t="shared" si="2"/>
        <v>2005/11/04 14:30:00</v>
      </c>
      <c r="F72" t="str">
        <v>2005/11/04 14:30:00</v>
      </c>
      <c r="G72">
        <f t="shared" si="3"/>
        <v>38660</v>
      </c>
    </row>
    <row r="73" spans="1:7">
      <c r="A73" s="1">
        <v>38688</v>
      </c>
      <c r="B73">
        <v>5</v>
      </c>
      <c r="C73">
        <v>5</v>
      </c>
      <c r="D73" t="str">
        <f t="shared" si="2"/>
        <v>2005/12/02 14:30:00</v>
      </c>
      <c r="F73" t="str">
        <v>2005/12/02 14:30:00</v>
      </c>
      <c r="G73">
        <f t="shared" si="3"/>
        <v>38688</v>
      </c>
    </row>
    <row r="74" spans="1:7">
      <c r="A74" s="1">
        <v>38723</v>
      </c>
      <c r="B74">
        <v>5</v>
      </c>
      <c r="C74">
        <v>4.9000000000000004</v>
      </c>
      <c r="D74" t="str">
        <f t="shared" si="2"/>
        <v>2006/01/06 14:30:00</v>
      </c>
      <c r="F74" t="str">
        <v>2006/01/06 14:30:00</v>
      </c>
      <c r="G74">
        <f t="shared" si="3"/>
        <v>38723</v>
      </c>
    </row>
    <row r="75" spans="1:7">
      <c r="A75" s="1">
        <v>38751</v>
      </c>
      <c r="B75">
        <v>4.9000000000000004</v>
      </c>
      <c r="C75">
        <v>4.7</v>
      </c>
      <c r="D75" t="str">
        <f t="shared" si="2"/>
        <v>2006/02/03 14:30:00</v>
      </c>
      <c r="F75" t="str">
        <v>2006/02/03 14:30:00</v>
      </c>
      <c r="G75">
        <f t="shared" si="3"/>
        <v>38751</v>
      </c>
    </row>
    <row r="76" spans="1:7">
      <c r="A76" s="1">
        <v>38786</v>
      </c>
      <c r="B76">
        <v>4.7</v>
      </c>
      <c r="C76">
        <v>4.8</v>
      </c>
      <c r="D76" t="str">
        <f t="shared" si="2"/>
        <v>2006/03/10 14:30:00</v>
      </c>
      <c r="F76" t="str">
        <v>2006/03/10 14:30:00</v>
      </c>
      <c r="G76">
        <f t="shared" si="3"/>
        <v>38786</v>
      </c>
    </row>
    <row r="77" spans="1:7">
      <c r="A77" s="1">
        <v>38814</v>
      </c>
      <c r="B77">
        <v>4.8</v>
      </c>
      <c r="C77">
        <v>4.7</v>
      </c>
      <c r="D77" t="str">
        <f t="shared" si="2"/>
        <v>2006/04/07 14:30:00</v>
      </c>
      <c r="F77" t="str">
        <v>2006/04/07 14:30:00</v>
      </c>
      <c r="G77">
        <f t="shared" si="3"/>
        <v>38814</v>
      </c>
    </row>
    <row r="78" spans="1:7">
      <c r="A78" s="1">
        <v>38842</v>
      </c>
      <c r="B78">
        <v>4.7</v>
      </c>
      <c r="C78">
        <v>4.7</v>
      </c>
      <c r="D78" t="str">
        <f t="shared" si="2"/>
        <v>2006/05/05 14:30:00</v>
      </c>
      <c r="F78" t="str">
        <v>2006/05/05 14:30:00</v>
      </c>
      <c r="G78">
        <f t="shared" si="3"/>
        <v>38842</v>
      </c>
    </row>
    <row r="79" spans="1:7">
      <c r="A79" s="1">
        <v>38870</v>
      </c>
      <c r="B79">
        <v>4.7</v>
      </c>
      <c r="C79">
        <v>4.5999999999999996</v>
      </c>
      <c r="D79" t="str">
        <f t="shared" si="2"/>
        <v>2006/06/02 14:30:00</v>
      </c>
      <c r="F79" t="str">
        <v>2006/06/02 14:30:00</v>
      </c>
      <c r="G79">
        <f t="shared" si="3"/>
        <v>38870</v>
      </c>
    </row>
    <row r="80" spans="1:7">
      <c r="A80" s="1">
        <v>38905</v>
      </c>
      <c r="B80">
        <v>4.5999999999999996</v>
      </c>
      <c r="C80">
        <v>4.5999999999999996</v>
      </c>
      <c r="D80" t="str">
        <f t="shared" si="2"/>
        <v>2006/07/07 14:30:00</v>
      </c>
      <c r="F80" t="str">
        <v>2006/07/07 14:30:00</v>
      </c>
      <c r="G80">
        <f t="shared" si="3"/>
        <v>38905</v>
      </c>
    </row>
    <row r="81" spans="1:7">
      <c r="A81" s="1">
        <v>38933</v>
      </c>
      <c r="B81">
        <v>4.5999999999999996</v>
      </c>
      <c r="C81">
        <v>4.8</v>
      </c>
      <c r="D81" t="str">
        <f t="shared" si="2"/>
        <v>2006/08/04 14:30:00</v>
      </c>
      <c r="F81" t="str">
        <v>2006/08/04 14:30:00</v>
      </c>
      <c r="G81">
        <f t="shared" si="3"/>
        <v>38933</v>
      </c>
    </row>
    <row r="82" spans="1:7">
      <c r="A82" s="1">
        <v>38961</v>
      </c>
      <c r="B82">
        <v>4.7</v>
      </c>
      <c r="C82">
        <v>4.7</v>
      </c>
      <c r="D82" t="str">
        <f t="shared" si="2"/>
        <v>2006/09/01 14:30:00</v>
      </c>
      <c r="F82" t="str">
        <v>2006/09/01 14:30:00</v>
      </c>
      <c r="G82">
        <f t="shared" si="3"/>
        <v>38961</v>
      </c>
    </row>
    <row r="83" spans="1:7">
      <c r="A83" s="1">
        <v>38996</v>
      </c>
      <c r="B83">
        <v>4.7</v>
      </c>
      <c r="C83">
        <v>4.5999999999999996</v>
      </c>
      <c r="D83" t="str">
        <f t="shared" si="2"/>
        <v>2006/10/06 14:30:00</v>
      </c>
      <c r="F83" t="str">
        <v>2006/10/06 14:30:00</v>
      </c>
      <c r="G83">
        <f t="shared" si="3"/>
        <v>38996</v>
      </c>
    </row>
    <row r="84" spans="1:7">
      <c r="A84" s="1">
        <v>39024</v>
      </c>
      <c r="B84">
        <v>4.5999999999999996</v>
      </c>
      <c r="C84">
        <v>4.4000000000000004</v>
      </c>
      <c r="D84" t="str">
        <f t="shared" si="2"/>
        <v>2006/11/03 14:30:00</v>
      </c>
      <c r="F84" t="str">
        <v>2006/11/03 14:30:00</v>
      </c>
      <c r="G84">
        <f t="shared" si="3"/>
        <v>39024</v>
      </c>
    </row>
    <row r="85" spans="1:7">
      <c r="A85" s="1">
        <v>39059</v>
      </c>
      <c r="B85">
        <v>4.5</v>
      </c>
      <c r="C85">
        <v>4.5</v>
      </c>
      <c r="D85" t="str">
        <f t="shared" si="2"/>
        <v>2006/12/08 14:30:00</v>
      </c>
      <c r="F85" t="str">
        <v>2006/12/08 14:30:00</v>
      </c>
      <c r="G85">
        <f t="shared" si="3"/>
        <v>39059</v>
      </c>
    </row>
    <row r="86" spans="1:7">
      <c r="A86" s="1">
        <v>39087</v>
      </c>
      <c r="B86">
        <v>4.5</v>
      </c>
      <c r="C86">
        <v>4.5</v>
      </c>
      <c r="D86" t="str">
        <f t="shared" si="2"/>
        <v>2007/01/05 14:30:00</v>
      </c>
      <c r="F86" t="str">
        <v>2007/01/05 14:30:00</v>
      </c>
      <c r="G86">
        <f t="shared" si="3"/>
        <v>39087</v>
      </c>
    </row>
    <row r="87" spans="1:7">
      <c r="A87" s="1">
        <v>39115</v>
      </c>
      <c r="B87">
        <v>4.5</v>
      </c>
      <c r="C87">
        <v>4.5999999999999996</v>
      </c>
      <c r="D87" t="str">
        <f t="shared" si="2"/>
        <v>2007/02/02 14:30:00</v>
      </c>
      <c r="F87" t="str">
        <v>2007/02/02 14:30:00</v>
      </c>
      <c r="G87">
        <f t="shared" si="3"/>
        <v>39115</v>
      </c>
    </row>
    <row r="88" spans="1:7">
      <c r="A88" s="1">
        <v>39150</v>
      </c>
      <c r="B88">
        <v>4.5999999999999996</v>
      </c>
      <c r="C88">
        <v>4.5</v>
      </c>
      <c r="D88" t="str">
        <f t="shared" si="2"/>
        <v>2007/03/09 14:30:00</v>
      </c>
      <c r="F88" t="str">
        <v>2007/03/09 14:30:00</v>
      </c>
      <c r="G88">
        <f t="shared" si="3"/>
        <v>39150</v>
      </c>
    </row>
    <row r="89" spans="1:7">
      <c r="A89" s="1">
        <v>39178</v>
      </c>
      <c r="B89">
        <v>4.5999999999999996</v>
      </c>
      <c r="C89">
        <v>4.4000000000000004</v>
      </c>
      <c r="D89" t="str">
        <f t="shared" si="2"/>
        <v>2007/04/06 14:30:00</v>
      </c>
      <c r="F89" t="str">
        <v>2007/04/06 14:30:00</v>
      </c>
      <c r="G89">
        <f t="shared" si="3"/>
        <v>39178</v>
      </c>
    </row>
    <row r="90" spans="1:7">
      <c r="A90" s="1">
        <v>39206</v>
      </c>
      <c r="B90">
        <v>4.5</v>
      </c>
      <c r="C90">
        <v>4.5</v>
      </c>
      <c r="D90" t="str">
        <f t="shared" si="2"/>
        <v>2007/05/04 14:30:00</v>
      </c>
      <c r="F90" t="str">
        <v>2007/05/04 14:30:00</v>
      </c>
      <c r="G90">
        <f t="shared" si="3"/>
        <v>39206</v>
      </c>
    </row>
    <row r="91" spans="1:7">
      <c r="A91" s="1">
        <v>39234</v>
      </c>
      <c r="B91">
        <v>4.5</v>
      </c>
      <c r="C91">
        <v>4.5</v>
      </c>
      <c r="D91" t="str">
        <f t="shared" si="2"/>
        <v>2007/06/01 14:30:00</v>
      </c>
      <c r="F91" t="str">
        <v>2007/06/01 14:30:00</v>
      </c>
      <c r="G91">
        <f t="shared" si="3"/>
        <v>39234</v>
      </c>
    </row>
    <row r="92" spans="1:7">
      <c r="A92" s="1">
        <v>39269</v>
      </c>
      <c r="B92">
        <v>4.5</v>
      </c>
      <c r="C92">
        <v>4.5</v>
      </c>
      <c r="D92" t="str">
        <f t="shared" si="2"/>
        <v>2007/07/06 14:30:00</v>
      </c>
      <c r="F92" t="str">
        <v>2007/07/06 14:30:00</v>
      </c>
      <c r="G92">
        <f t="shared" si="3"/>
        <v>39269</v>
      </c>
    </row>
    <row r="93" spans="1:7">
      <c r="A93" s="1">
        <v>39297</v>
      </c>
      <c r="B93">
        <v>4.5</v>
      </c>
      <c r="C93">
        <v>4.5999999999999996</v>
      </c>
      <c r="D93" t="str">
        <f t="shared" si="2"/>
        <v>2007/08/03 14:30:00</v>
      </c>
      <c r="F93" t="str">
        <v>2007/08/03 14:30:00</v>
      </c>
      <c r="G93">
        <f t="shared" si="3"/>
        <v>39297</v>
      </c>
    </row>
    <row r="94" spans="1:7">
      <c r="A94" s="1">
        <v>39332</v>
      </c>
      <c r="B94">
        <v>4.5999999999999996</v>
      </c>
      <c r="C94">
        <v>4.5999999999999996</v>
      </c>
      <c r="D94" t="str">
        <f t="shared" si="2"/>
        <v>2007/09/07 14:30:00</v>
      </c>
      <c r="F94" t="str">
        <v>2007/09/07 14:30:00</v>
      </c>
      <c r="G94">
        <f t="shared" si="3"/>
        <v>39332</v>
      </c>
    </row>
    <row r="95" spans="1:7">
      <c r="A95" s="1">
        <v>39360</v>
      </c>
      <c r="B95">
        <v>4.7</v>
      </c>
      <c r="C95">
        <v>4.7</v>
      </c>
      <c r="D95" t="str">
        <f t="shared" si="2"/>
        <v>2007/10/05 14:30:00</v>
      </c>
      <c r="F95" t="str">
        <v>2007/10/05 14:30:00</v>
      </c>
      <c r="G95">
        <f t="shared" si="3"/>
        <v>39360</v>
      </c>
    </row>
    <row r="96" spans="1:7">
      <c r="A96" s="1">
        <v>39388</v>
      </c>
      <c r="B96">
        <v>4.7</v>
      </c>
      <c r="C96">
        <v>4.7</v>
      </c>
      <c r="D96" t="str">
        <f t="shared" si="2"/>
        <v>2007/11/02 13:30:00</v>
      </c>
      <c r="F96" t="str">
        <v>2007/11/02 13:30:00</v>
      </c>
      <c r="G96">
        <f t="shared" si="3"/>
        <v>39388</v>
      </c>
    </row>
    <row r="97" spans="1:7">
      <c r="A97" s="1">
        <v>39423</v>
      </c>
      <c r="B97">
        <v>4.8</v>
      </c>
      <c r="C97">
        <v>4.7</v>
      </c>
      <c r="D97" t="str">
        <f t="shared" si="2"/>
        <v>2007/12/07 14:30:00</v>
      </c>
      <c r="F97" t="str">
        <v>2007/12/07 14:30:00</v>
      </c>
      <c r="G97">
        <f t="shared" si="3"/>
        <v>39423</v>
      </c>
    </row>
    <row r="98" spans="1:7">
      <c r="A98" s="1">
        <v>39451</v>
      </c>
      <c r="B98">
        <v>4.8</v>
      </c>
      <c r="C98">
        <v>5</v>
      </c>
      <c r="D98" t="str">
        <f t="shared" si="2"/>
        <v>2008/01/04 14:30:00</v>
      </c>
      <c r="F98" t="str">
        <v>2008/01/04 14:30:00</v>
      </c>
      <c r="G98">
        <f t="shared" si="3"/>
        <v>39451</v>
      </c>
    </row>
    <row r="99" spans="1:7">
      <c r="A99" s="1">
        <v>39479</v>
      </c>
      <c r="B99">
        <v>5</v>
      </c>
      <c r="C99">
        <v>4.9000000000000004</v>
      </c>
      <c r="D99" t="str">
        <f t="shared" si="2"/>
        <v>2008/02/01 14:30:00</v>
      </c>
      <c r="F99" t="str">
        <v>2008/02/01 14:30:00</v>
      </c>
      <c r="G99">
        <f t="shared" si="3"/>
        <v>39479</v>
      </c>
    </row>
    <row r="100" spans="1:7">
      <c r="A100" s="1">
        <v>39514</v>
      </c>
      <c r="B100">
        <v>5</v>
      </c>
      <c r="C100">
        <v>4.8</v>
      </c>
      <c r="D100" t="str">
        <f t="shared" si="2"/>
        <v>2008/03/07 14:30:00</v>
      </c>
      <c r="F100" t="str">
        <v>2008/03/07 14:30:00</v>
      </c>
      <c r="G100">
        <f t="shared" si="3"/>
        <v>39514</v>
      </c>
    </row>
    <row r="101" spans="1:7">
      <c r="A101" s="1">
        <v>39542</v>
      </c>
      <c r="B101">
        <v>5</v>
      </c>
      <c r="C101">
        <v>5.0999999999999996</v>
      </c>
      <c r="D101" t="str">
        <f t="shared" si="2"/>
        <v>2008/04/04 14:30:00</v>
      </c>
      <c r="F101" t="str">
        <v>2008/04/04 14:30:00</v>
      </c>
      <c r="G101">
        <f t="shared" si="3"/>
        <v>39542</v>
      </c>
    </row>
    <row r="102" spans="1:7">
      <c r="A102" s="1">
        <v>39570</v>
      </c>
      <c r="B102">
        <v>5.2</v>
      </c>
      <c r="C102">
        <v>5</v>
      </c>
      <c r="D102" t="str">
        <f t="shared" si="2"/>
        <v>2008/05/02 14:30:00</v>
      </c>
      <c r="F102" t="str">
        <v>2008/05/02 14:30:00</v>
      </c>
      <c r="G102">
        <f t="shared" si="3"/>
        <v>39570</v>
      </c>
    </row>
    <row r="103" spans="1:7">
      <c r="A103" s="1">
        <v>39605</v>
      </c>
      <c r="B103">
        <v>5.0999999999999996</v>
      </c>
      <c r="C103">
        <v>5.5</v>
      </c>
      <c r="D103" t="str">
        <f t="shared" si="2"/>
        <v>2008/06/06 14:30:00</v>
      </c>
      <c r="F103" t="str">
        <v>2008/06/06 14:30:00</v>
      </c>
      <c r="G103">
        <f t="shared" si="3"/>
        <v>39605</v>
      </c>
    </row>
    <row r="104" spans="1:7">
      <c r="A104" s="1">
        <v>39632</v>
      </c>
      <c r="B104">
        <v>5.4</v>
      </c>
      <c r="C104">
        <v>5.5</v>
      </c>
      <c r="D104" t="str">
        <f t="shared" si="2"/>
        <v>2008/07/03 14:30:00</v>
      </c>
      <c r="F104" t="str">
        <v>2008/07/03 14:30:00</v>
      </c>
      <c r="G104">
        <f t="shared" si="3"/>
        <v>39632</v>
      </c>
    </row>
    <row r="105" spans="1:7">
      <c r="A105" s="1">
        <v>39661</v>
      </c>
      <c r="B105">
        <v>5.6</v>
      </c>
      <c r="C105">
        <v>5.7</v>
      </c>
      <c r="D105" t="str">
        <f t="shared" si="2"/>
        <v>2008/08/01 14:30:00</v>
      </c>
      <c r="F105" t="str">
        <v>2008/08/01 14:30:00</v>
      </c>
      <c r="G105">
        <f t="shared" si="3"/>
        <v>39661</v>
      </c>
    </row>
    <row r="106" spans="1:7">
      <c r="A106" s="1">
        <v>39696</v>
      </c>
      <c r="B106">
        <v>5.7</v>
      </c>
      <c r="C106">
        <v>6.1</v>
      </c>
      <c r="D106" t="str">
        <f t="shared" si="2"/>
        <v>2008/09/05 14:30:00</v>
      </c>
      <c r="F106" t="str">
        <v>2008/09/05 14:30:00</v>
      </c>
      <c r="G106">
        <f t="shared" si="3"/>
        <v>39696</v>
      </c>
    </row>
    <row r="107" spans="1:7">
      <c r="A107" s="1">
        <v>39724</v>
      </c>
      <c r="B107">
        <v>6.1</v>
      </c>
      <c r="C107">
        <v>6.1</v>
      </c>
      <c r="D107" t="str">
        <f t="shared" si="2"/>
        <v>2008/10/03 14:30:00</v>
      </c>
      <c r="F107" t="str">
        <v>2008/10/03 14:30:00</v>
      </c>
      <c r="G107">
        <f t="shared" si="3"/>
        <v>39724</v>
      </c>
    </row>
    <row r="108" spans="1:7">
      <c r="A108" s="1">
        <v>39759</v>
      </c>
      <c r="B108">
        <v>6.3</v>
      </c>
      <c r="C108">
        <v>6.5</v>
      </c>
      <c r="D108" t="str">
        <f t="shared" si="2"/>
        <v>2008/11/07 14:30:00</v>
      </c>
      <c r="F108" t="str">
        <v>2008/11/07 14:30:00</v>
      </c>
      <c r="G108">
        <f t="shared" si="3"/>
        <v>39759</v>
      </c>
    </row>
    <row r="109" spans="1:7">
      <c r="A109" s="1">
        <v>39787</v>
      </c>
      <c r="B109">
        <v>6.8</v>
      </c>
      <c r="C109">
        <v>6.7</v>
      </c>
      <c r="D109" t="str">
        <f t="shared" si="2"/>
        <v>2008/12/05 14:30:00</v>
      </c>
      <c r="F109" t="str">
        <v>2008/12/05 14:30:00</v>
      </c>
      <c r="G109">
        <f t="shared" si="3"/>
        <v>39787</v>
      </c>
    </row>
    <row r="110" spans="1:7">
      <c r="A110" s="1">
        <v>39822</v>
      </c>
      <c r="B110">
        <v>7</v>
      </c>
      <c r="C110">
        <v>7.2</v>
      </c>
      <c r="D110" t="str">
        <f t="shared" si="2"/>
        <v>2009/01/09 14:30:00</v>
      </c>
      <c r="F110" t="str">
        <v>2009/01/09 14:30:00</v>
      </c>
      <c r="G110">
        <f t="shared" si="3"/>
        <v>39822</v>
      </c>
    </row>
    <row r="111" spans="1:7">
      <c r="A111" s="1">
        <v>39850</v>
      </c>
      <c r="B111">
        <v>7.5</v>
      </c>
      <c r="C111">
        <v>7.6</v>
      </c>
      <c r="D111" t="str">
        <f t="shared" si="2"/>
        <v>2009/02/06 14:30:00</v>
      </c>
      <c r="F111" t="str">
        <v>2009/02/06 14:30:00</v>
      </c>
      <c r="G111">
        <f t="shared" si="3"/>
        <v>39850</v>
      </c>
    </row>
    <row r="112" spans="1:7">
      <c r="A112" s="1">
        <v>39878</v>
      </c>
      <c r="B112">
        <v>7.9</v>
      </c>
      <c r="C112">
        <v>8.1</v>
      </c>
      <c r="D112" t="str">
        <f t="shared" si="2"/>
        <v>2009/03/06 14:30:00</v>
      </c>
      <c r="F112" t="str">
        <v>2009/03/06 14:30:00</v>
      </c>
      <c r="G112">
        <f t="shared" si="3"/>
        <v>39878</v>
      </c>
    </row>
    <row r="113" spans="1:7">
      <c r="A113" s="1">
        <v>39906</v>
      </c>
      <c r="B113">
        <v>8.5</v>
      </c>
      <c r="C113">
        <v>8.5</v>
      </c>
      <c r="D113" t="str">
        <f t="shared" si="2"/>
        <v>2009/04/03 14:30:00</v>
      </c>
      <c r="F113" t="str">
        <v>2009/04/03 14:30:00</v>
      </c>
      <c r="G113">
        <f t="shared" si="3"/>
        <v>39906</v>
      </c>
    </row>
    <row r="114" spans="1:7">
      <c r="A114" s="1">
        <v>39941</v>
      </c>
      <c r="B114">
        <v>8.9</v>
      </c>
      <c r="C114">
        <v>8.9</v>
      </c>
      <c r="D114" t="str">
        <f t="shared" si="2"/>
        <v>2009/05/08 14:30:00</v>
      </c>
      <c r="F114" t="str">
        <v>2009/05/08 14:30:00</v>
      </c>
      <c r="G114">
        <f t="shared" si="3"/>
        <v>39941</v>
      </c>
    </row>
    <row r="115" spans="1:7">
      <c r="A115" s="1">
        <v>39969</v>
      </c>
      <c r="B115">
        <v>9.1999999999999993</v>
      </c>
      <c r="C115">
        <v>9.4</v>
      </c>
      <c r="D115" t="str">
        <f t="shared" si="2"/>
        <v>2009/06/05 14:30:00</v>
      </c>
      <c r="F115" t="str">
        <v>2009/06/05 14:30:00</v>
      </c>
      <c r="G115">
        <f t="shared" si="3"/>
        <v>39969</v>
      </c>
    </row>
    <row r="116" spans="1:7">
      <c r="A116" s="1">
        <v>39996</v>
      </c>
      <c r="B116">
        <v>9.6</v>
      </c>
      <c r="C116">
        <v>9.5</v>
      </c>
      <c r="D116" t="str">
        <f t="shared" si="2"/>
        <v>2009/07/02 14:30:00</v>
      </c>
      <c r="F116" t="str">
        <v>2009/07/02 14:30:00</v>
      </c>
      <c r="G116">
        <f t="shared" si="3"/>
        <v>39996</v>
      </c>
    </row>
    <row r="117" spans="1:7">
      <c r="A117" s="1">
        <v>40032</v>
      </c>
      <c r="B117">
        <v>9.6</v>
      </c>
      <c r="C117">
        <v>9.4</v>
      </c>
      <c r="D117" t="str">
        <f t="shared" si="2"/>
        <v>2009/08/07 14:30:00</v>
      </c>
      <c r="F117" t="str">
        <v>2009/08/07 14:30:00</v>
      </c>
      <c r="G117">
        <f t="shared" si="3"/>
        <v>40032</v>
      </c>
    </row>
    <row r="118" spans="1:7">
      <c r="A118" s="1">
        <v>40060</v>
      </c>
      <c r="B118">
        <v>9.5</v>
      </c>
      <c r="C118">
        <v>9.6999999999999993</v>
      </c>
      <c r="D118" t="str">
        <f t="shared" si="2"/>
        <v>2009/09/04 14:30:00</v>
      </c>
      <c r="F118" t="str">
        <v>2009/09/04 14:30:00</v>
      </c>
      <c r="G118">
        <f t="shared" si="3"/>
        <v>40060</v>
      </c>
    </row>
    <row r="119" spans="1:7">
      <c r="A119" s="1">
        <v>40088</v>
      </c>
      <c r="B119">
        <v>9.8000000000000007</v>
      </c>
      <c r="C119">
        <v>9.8000000000000007</v>
      </c>
      <c r="D119" t="str">
        <f t="shared" si="2"/>
        <v>2009/10/02 14:30:00</v>
      </c>
      <c r="F119" t="str">
        <v>2009/10/02 14:30:00</v>
      </c>
      <c r="G119">
        <f t="shared" si="3"/>
        <v>40088</v>
      </c>
    </row>
    <row r="120" spans="1:7">
      <c r="A120" s="1">
        <v>40123</v>
      </c>
      <c r="B120">
        <v>9.9</v>
      </c>
      <c r="C120">
        <v>10.199999999999999</v>
      </c>
      <c r="D120" t="str">
        <f t="shared" si="2"/>
        <v>2009/11/06 14:30:00</v>
      </c>
      <c r="F120" t="str">
        <v>2009/11/06 14:30:00</v>
      </c>
      <c r="G120">
        <f t="shared" si="3"/>
        <v>40123</v>
      </c>
    </row>
    <row r="121" spans="1:7">
      <c r="A121" s="1">
        <v>40151</v>
      </c>
      <c r="B121">
        <v>10.199999999999999</v>
      </c>
      <c r="C121">
        <v>10</v>
      </c>
      <c r="D121" t="str">
        <f t="shared" si="2"/>
        <v>2009/12/04 14:30:00</v>
      </c>
      <c r="F121" t="str">
        <v>2009/12/04 14:30:00</v>
      </c>
      <c r="G121">
        <f t="shared" si="3"/>
        <v>40151</v>
      </c>
    </row>
    <row r="122" spans="1:7">
      <c r="A122" s="1">
        <v>40186</v>
      </c>
      <c r="B122">
        <v>10</v>
      </c>
      <c r="C122">
        <v>10</v>
      </c>
      <c r="D122" t="str">
        <f t="shared" si="2"/>
        <v>2010/01/08 14:30:00</v>
      </c>
      <c r="F122" t="str">
        <v>2010/01/08 14:30:00</v>
      </c>
      <c r="G122">
        <f t="shared" si="3"/>
        <v>40186</v>
      </c>
    </row>
    <row r="123" spans="1:7">
      <c r="A123" s="1">
        <v>40214</v>
      </c>
      <c r="B123">
        <v>10</v>
      </c>
      <c r="C123">
        <v>9.6999999999999993</v>
      </c>
      <c r="D123" t="str">
        <f t="shared" si="2"/>
        <v>2010/02/05 14:30:00</v>
      </c>
      <c r="F123" t="str">
        <v>2010/02/05 14:30:00</v>
      </c>
      <c r="G123">
        <f t="shared" si="3"/>
        <v>40214</v>
      </c>
    </row>
    <row r="124" spans="1:7">
      <c r="A124" s="1">
        <v>40242</v>
      </c>
      <c r="B124">
        <v>9.8000000000000007</v>
      </c>
      <c r="C124">
        <v>9.6999999999999993</v>
      </c>
      <c r="D124" t="str">
        <f t="shared" si="2"/>
        <v>2010/03/05 14:30:00</v>
      </c>
      <c r="F124" t="str">
        <v>2010/03/05 14:30:00</v>
      </c>
      <c r="G124">
        <f t="shared" si="3"/>
        <v>40242</v>
      </c>
    </row>
    <row r="125" spans="1:7">
      <c r="A125" s="1">
        <v>40270</v>
      </c>
      <c r="B125">
        <v>9.6999999999999993</v>
      </c>
      <c r="C125">
        <v>9.6999999999999993</v>
      </c>
      <c r="D125" t="str">
        <f t="shared" si="2"/>
        <v>2010/04/02 14:30:00</v>
      </c>
      <c r="F125" t="str">
        <v>2010/04/02 14:30:00</v>
      </c>
      <c r="G125">
        <f t="shared" si="3"/>
        <v>40270</v>
      </c>
    </row>
    <row r="126" spans="1:7">
      <c r="A126" s="1">
        <v>40305</v>
      </c>
      <c r="B126">
        <v>9.6999999999999993</v>
      </c>
      <c r="C126">
        <v>9.9</v>
      </c>
      <c r="D126" t="str">
        <f t="shared" si="2"/>
        <v>2010/05/07 14:30:00</v>
      </c>
      <c r="F126" t="str">
        <v>2010/05/07 14:30:00</v>
      </c>
      <c r="G126">
        <f t="shared" si="3"/>
        <v>40305</v>
      </c>
    </row>
    <row r="127" spans="1:7">
      <c r="A127" s="1">
        <v>40333</v>
      </c>
      <c r="B127">
        <v>9.8000000000000007</v>
      </c>
      <c r="C127">
        <v>9.6999999999999993</v>
      </c>
      <c r="D127" t="str">
        <f t="shared" si="2"/>
        <v>2010/06/04 14:30:00</v>
      </c>
      <c r="F127" t="str">
        <v>2010/06/04 14:30:00</v>
      </c>
      <c r="G127">
        <f t="shared" si="3"/>
        <v>40333</v>
      </c>
    </row>
    <row r="128" spans="1:7">
      <c r="A128" s="1">
        <v>40361</v>
      </c>
      <c r="B128">
        <v>9.8000000000000007</v>
      </c>
      <c r="C128">
        <v>9.5</v>
      </c>
      <c r="D128" t="str">
        <f t="shared" si="2"/>
        <v>2010/07/02 14:30:00</v>
      </c>
      <c r="F128" t="str">
        <v>2010/07/02 14:30:00</v>
      </c>
      <c r="G128">
        <f t="shared" si="3"/>
        <v>40361</v>
      </c>
    </row>
    <row r="129" spans="1:7">
      <c r="A129" s="1">
        <v>40396</v>
      </c>
      <c r="B129">
        <v>9.6</v>
      </c>
      <c r="C129">
        <v>9.5</v>
      </c>
      <c r="D129" t="str">
        <f t="shared" si="2"/>
        <v>2010/08/06 14:30:00</v>
      </c>
      <c r="F129" t="str">
        <v>2010/08/06 14:30:00</v>
      </c>
      <c r="G129">
        <f t="shared" si="3"/>
        <v>40396</v>
      </c>
    </row>
    <row r="130" spans="1:7">
      <c r="A130" s="1">
        <v>40424</v>
      </c>
      <c r="B130">
        <v>9.6</v>
      </c>
      <c r="C130">
        <v>9.6</v>
      </c>
      <c r="D130" t="str">
        <f t="shared" si="2"/>
        <v>2010/09/03 14:30:00</v>
      </c>
      <c r="F130" t="str">
        <v>2010/09/03 14:30:00</v>
      </c>
      <c r="G130">
        <f t="shared" si="3"/>
        <v>40424</v>
      </c>
    </row>
    <row r="131" spans="1:7">
      <c r="A131" s="1">
        <v>40459</v>
      </c>
      <c r="B131">
        <v>9.6999999999999993</v>
      </c>
      <c r="C131">
        <v>9.6</v>
      </c>
      <c r="D131" t="str">
        <f t="shared" ref="D131:D194" si="4">_xlfn.XLOOKUP(A131,$G:$G,$F:$F,"")</f>
        <v>2010/10/08 14:30:00</v>
      </c>
      <c r="F131" t="str">
        <v>2010/10/08 14:30:00</v>
      </c>
      <c r="G131">
        <f t="shared" ref="G131:G194" si="5">INT(F131)</f>
        <v>40459</v>
      </c>
    </row>
    <row r="132" spans="1:7">
      <c r="A132" s="1">
        <v>40487</v>
      </c>
      <c r="B132">
        <v>9.6</v>
      </c>
      <c r="C132">
        <v>9.6</v>
      </c>
      <c r="D132" t="str">
        <f t="shared" si="4"/>
        <v>2010/11/05 13:30:00</v>
      </c>
      <c r="F132" t="str">
        <v>2010/11/05 13:30:00</v>
      </c>
      <c r="G132">
        <f t="shared" si="5"/>
        <v>40487</v>
      </c>
    </row>
    <row r="133" spans="1:7">
      <c r="A133" s="1">
        <v>40515</v>
      </c>
      <c r="B133">
        <v>9.6</v>
      </c>
      <c r="C133">
        <v>9.8000000000000007</v>
      </c>
      <c r="D133" t="str">
        <f t="shared" si="4"/>
        <v>2010/12/03 14:30:00</v>
      </c>
      <c r="F133" t="str">
        <v>2010/12/03 14:30:00</v>
      </c>
      <c r="G133">
        <f t="shared" si="5"/>
        <v>40515</v>
      </c>
    </row>
    <row r="134" spans="1:7">
      <c r="A134" s="1">
        <v>40550</v>
      </c>
      <c r="B134">
        <v>9.6999999999999993</v>
      </c>
      <c r="C134">
        <v>9.4</v>
      </c>
      <c r="D134" t="str">
        <f t="shared" si="4"/>
        <v>2011/01/07 14:30:00</v>
      </c>
      <c r="F134" t="str">
        <v>2011/01/07 14:30:00</v>
      </c>
      <c r="G134">
        <f t="shared" si="5"/>
        <v>40550</v>
      </c>
    </row>
    <row r="135" spans="1:7">
      <c r="A135" s="1">
        <v>40578</v>
      </c>
      <c r="B135">
        <v>9.5</v>
      </c>
      <c r="C135">
        <v>9</v>
      </c>
      <c r="D135" t="str">
        <f t="shared" si="4"/>
        <v>2011/02/04 14:30:00</v>
      </c>
      <c r="F135" t="str">
        <v>2011/02/04 14:30:00</v>
      </c>
      <c r="G135">
        <f t="shared" si="5"/>
        <v>40578</v>
      </c>
    </row>
    <row r="136" spans="1:7">
      <c r="A136" s="1">
        <v>40606</v>
      </c>
      <c r="B136">
        <v>9.1</v>
      </c>
      <c r="C136">
        <v>8.9</v>
      </c>
      <c r="D136" t="str">
        <f t="shared" si="4"/>
        <v>2011/03/04 14:30:00</v>
      </c>
      <c r="F136" t="str">
        <v>2011/03/04 14:30:00</v>
      </c>
      <c r="G136">
        <f t="shared" si="5"/>
        <v>40606</v>
      </c>
    </row>
    <row r="137" spans="1:7">
      <c r="A137" s="1">
        <v>40634</v>
      </c>
      <c r="B137">
        <v>8.9</v>
      </c>
      <c r="C137">
        <v>8.8000000000000007</v>
      </c>
      <c r="D137" t="str">
        <f t="shared" si="4"/>
        <v>2011/04/01 14:30:00</v>
      </c>
      <c r="F137" t="str">
        <v>2011/04/01 14:30:00</v>
      </c>
      <c r="G137">
        <f t="shared" si="5"/>
        <v>40634</v>
      </c>
    </row>
    <row r="138" spans="1:7">
      <c r="A138" s="1">
        <v>40669</v>
      </c>
      <c r="B138">
        <v>8.8000000000000007</v>
      </c>
      <c r="C138">
        <v>9</v>
      </c>
      <c r="D138" t="str">
        <f t="shared" si="4"/>
        <v>2011/05/06 14:30:00</v>
      </c>
      <c r="F138" t="str">
        <v>2011/05/06 14:30:00</v>
      </c>
      <c r="G138">
        <f t="shared" si="5"/>
        <v>40669</v>
      </c>
    </row>
    <row r="139" spans="1:7">
      <c r="A139" s="1">
        <v>40697</v>
      </c>
      <c r="B139">
        <v>8.9</v>
      </c>
      <c r="C139">
        <v>9.1</v>
      </c>
      <c r="D139" t="str">
        <f t="shared" si="4"/>
        <v>2011/06/03 14:30:00</v>
      </c>
      <c r="F139" t="str">
        <v>2011/06/03 14:30:00</v>
      </c>
      <c r="G139">
        <f t="shared" si="5"/>
        <v>40697</v>
      </c>
    </row>
    <row r="140" spans="1:7">
      <c r="A140" s="1">
        <v>40732</v>
      </c>
      <c r="B140">
        <v>9.1</v>
      </c>
      <c r="C140">
        <v>9.1999999999999993</v>
      </c>
      <c r="D140" t="str">
        <f t="shared" si="4"/>
        <v>2011/07/08 14:30:00</v>
      </c>
      <c r="F140" t="str">
        <v>2011/07/08 14:30:00</v>
      </c>
      <c r="G140">
        <f t="shared" si="5"/>
        <v>40732</v>
      </c>
    </row>
    <row r="141" spans="1:7">
      <c r="A141" s="1">
        <v>40760</v>
      </c>
      <c r="B141">
        <v>9.1999999999999993</v>
      </c>
      <c r="C141">
        <v>9.1</v>
      </c>
      <c r="D141" t="str">
        <f t="shared" si="4"/>
        <v>2011/08/05 14:30:00</v>
      </c>
      <c r="F141" t="str">
        <v>2011/08/05 14:30:00</v>
      </c>
      <c r="G141">
        <f t="shared" si="5"/>
        <v>40760</v>
      </c>
    </row>
    <row r="142" spans="1:7">
      <c r="A142" s="1">
        <v>40788</v>
      </c>
      <c r="B142">
        <v>9.1</v>
      </c>
      <c r="C142">
        <v>9.1</v>
      </c>
      <c r="D142" t="str">
        <f t="shared" si="4"/>
        <v>2011/09/02 14:30:00</v>
      </c>
      <c r="F142" t="str">
        <v>2011/09/02 14:30:00</v>
      </c>
      <c r="G142">
        <f t="shared" si="5"/>
        <v>40788</v>
      </c>
    </row>
    <row r="143" spans="1:7">
      <c r="A143" s="1">
        <v>40823</v>
      </c>
      <c r="B143">
        <v>9.1</v>
      </c>
      <c r="C143">
        <v>9.1</v>
      </c>
      <c r="D143" t="str">
        <f t="shared" si="4"/>
        <v>2011/10/07 14:30:00</v>
      </c>
      <c r="F143" t="str">
        <v>2011/10/07 14:30:00</v>
      </c>
      <c r="G143">
        <f t="shared" si="5"/>
        <v>40823</v>
      </c>
    </row>
    <row r="144" spans="1:7">
      <c r="A144" s="1">
        <v>40851</v>
      </c>
      <c r="B144">
        <v>9.1</v>
      </c>
      <c r="C144">
        <v>9</v>
      </c>
      <c r="D144" t="str">
        <f t="shared" si="4"/>
        <v>2011/11/04 13:30:00</v>
      </c>
      <c r="F144" t="str">
        <v>2011/11/04 13:30:00</v>
      </c>
      <c r="G144">
        <f t="shared" si="5"/>
        <v>40851</v>
      </c>
    </row>
    <row r="145" spans="1:7">
      <c r="A145" s="1">
        <v>40879</v>
      </c>
      <c r="B145">
        <v>9</v>
      </c>
      <c r="C145">
        <v>8.6</v>
      </c>
      <c r="D145" t="str">
        <f t="shared" si="4"/>
        <v>2011/12/02 14:30:00</v>
      </c>
      <c r="F145" t="str">
        <v>2011/12/02 14:30:00</v>
      </c>
      <c r="G145">
        <f t="shared" si="5"/>
        <v>40879</v>
      </c>
    </row>
    <row r="146" spans="1:7">
      <c r="A146" s="1">
        <v>40914</v>
      </c>
      <c r="B146">
        <v>8.6999999999999993</v>
      </c>
      <c r="C146">
        <v>8.5</v>
      </c>
      <c r="D146" t="str">
        <f t="shared" si="4"/>
        <v>2012/01/06 14:30:00</v>
      </c>
      <c r="F146" t="str">
        <v>2012/01/06 14:30:00</v>
      </c>
      <c r="G146">
        <f t="shared" si="5"/>
        <v>40914</v>
      </c>
    </row>
    <row r="147" spans="1:7">
      <c r="A147" s="1">
        <v>40942</v>
      </c>
      <c r="B147">
        <v>8.5</v>
      </c>
      <c r="C147">
        <v>8.3000000000000007</v>
      </c>
      <c r="D147" t="str">
        <f t="shared" si="4"/>
        <v>2012/02/03 14:30:00</v>
      </c>
      <c r="F147" t="str">
        <v>2012/02/03 14:30:00</v>
      </c>
      <c r="G147">
        <f t="shared" si="5"/>
        <v>40942</v>
      </c>
    </row>
    <row r="148" spans="1:7">
      <c r="A148" s="1">
        <v>40977</v>
      </c>
      <c r="B148">
        <v>8.3000000000000007</v>
      </c>
      <c r="C148">
        <v>8.3000000000000007</v>
      </c>
      <c r="D148" t="str">
        <f t="shared" si="4"/>
        <v>2012/03/09 14:30:00</v>
      </c>
      <c r="F148" t="str">
        <v>2012/03/09 14:30:00</v>
      </c>
      <c r="G148">
        <f t="shared" si="5"/>
        <v>40977</v>
      </c>
    </row>
    <row r="149" spans="1:7">
      <c r="A149" s="1">
        <v>41005</v>
      </c>
      <c r="B149">
        <v>8.3000000000000007</v>
      </c>
      <c r="C149">
        <v>8.1999999999999993</v>
      </c>
      <c r="D149" t="str">
        <f t="shared" si="4"/>
        <v>2012/04/06 14:30:00</v>
      </c>
      <c r="F149" t="str">
        <v>2012/04/06 14:30:00</v>
      </c>
      <c r="G149">
        <f t="shared" si="5"/>
        <v>41005</v>
      </c>
    </row>
    <row r="150" spans="1:7">
      <c r="A150" s="1">
        <v>41033</v>
      </c>
      <c r="B150">
        <v>8.1999999999999993</v>
      </c>
      <c r="C150">
        <v>8.1</v>
      </c>
      <c r="D150" t="str">
        <f t="shared" si="4"/>
        <v>2012/05/04 14:30:00</v>
      </c>
      <c r="F150" t="str">
        <v>2012/05/04 14:30:00</v>
      </c>
      <c r="G150">
        <f t="shared" si="5"/>
        <v>41033</v>
      </c>
    </row>
    <row r="151" spans="1:7">
      <c r="A151" s="1">
        <v>41061</v>
      </c>
      <c r="B151">
        <v>8.1</v>
      </c>
      <c r="C151">
        <v>8.1999999999999993</v>
      </c>
      <c r="D151" t="str">
        <f t="shared" si="4"/>
        <v>2012/06/01 14:30:00</v>
      </c>
      <c r="F151" t="str">
        <v>2012/06/01 14:30:00</v>
      </c>
      <c r="G151">
        <f t="shared" si="5"/>
        <v>41061</v>
      </c>
    </row>
    <row r="152" spans="1:7">
      <c r="A152" s="1">
        <v>41096</v>
      </c>
      <c r="B152">
        <v>8.1999999999999993</v>
      </c>
      <c r="C152">
        <v>8.1999999999999993</v>
      </c>
      <c r="D152" t="str">
        <f t="shared" si="4"/>
        <v>2012/07/06 14:30:00</v>
      </c>
      <c r="F152" t="str">
        <v>2012/07/06 14:30:00</v>
      </c>
      <c r="G152">
        <f t="shared" si="5"/>
        <v>41096</v>
      </c>
    </row>
    <row r="153" spans="1:7">
      <c r="A153" s="1">
        <v>41124</v>
      </c>
      <c r="B153">
        <v>8.1999999999999993</v>
      </c>
      <c r="C153">
        <v>8.3000000000000007</v>
      </c>
      <c r="D153" t="str">
        <f t="shared" si="4"/>
        <v>2012/08/03 14:30:00</v>
      </c>
      <c r="F153" t="str">
        <v>2012/08/03 14:30:00</v>
      </c>
      <c r="G153">
        <f t="shared" si="5"/>
        <v>41124</v>
      </c>
    </row>
    <row r="154" spans="1:7">
      <c r="A154" s="1">
        <v>41159</v>
      </c>
      <c r="B154">
        <v>8.3000000000000007</v>
      </c>
      <c r="C154">
        <v>8.1</v>
      </c>
      <c r="D154" t="str">
        <f t="shared" si="4"/>
        <v>2012/09/07 14:30:00</v>
      </c>
      <c r="F154" t="str">
        <v>2012/09/07 14:30:00</v>
      </c>
      <c r="G154">
        <f t="shared" si="5"/>
        <v>41159</v>
      </c>
    </row>
    <row r="155" spans="1:7">
      <c r="A155" s="1">
        <v>41187</v>
      </c>
      <c r="B155">
        <v>8.1999999999999993</v>
      </c>
      <c r="C155">
        <v>7.8</v>
      </c>
      <c r="D155" t="str">
        <f t="shared" si="4"/>
        <v>2012/10/05 14:30:00</v>
      </c>
      <c r="F155" t="str">
        <v>2012/10/05 14:30:00</v>
      </c>
      <c r="G155">
        <f t="shared" si="5"/>
        <v>41187</v>
      </c>
    </row>
    <row r="156" spans="1:7">
      <c r="A156" s="1">
        <v>41215</v>
      </c>
      <c r="B156">
        <v>7.9</v>
      </c>
      <c r="C156">
        <v>7.9</v>
      </c>
      <c r="D156" t="str">
        <f t="shared" si="4"/>
        <v>2012/11/02 13:30:00</v>
      </c>
      <c r="F156" t="str">
        <v>2012/11/02 13:30:00</v>
      </c>
      <c r="G156">
        <f t="shared" si="5"/>
        <v>41215</v>
      </c>
    </row>
    <row r="157" spans="1:7">
      <c r="A157" s="1">
        <v>41250</v>
      </c>
      <c r="B157">
        <v>7.9</v>
      </c>
      <c r="C157">
        <v>7.7</v>
      </c>
      <c r="D157" t="str">
        <f t="shared" si="4"/>
        <v>2012/12/07 14:30:00</v>
      </c>
      <c r="F157" t="str">
        <v>2012/12/07 14:30:00</v>
      </c>
      <c r="G157">
        <f t="shared" si="5"/>
        <v>41250</v>
      </c>
    </row>
    <row r="158" spans="1:7">
      <c r="A158" s="1">
        <v>41278</v>
      </c>
      <c r="B158">
        <v>7.7</v>
      </c>
      <c r="C158">
        <v>7.8</v>
      </c>
      <c r="D158" t="str">
        <f t="shared" si="4"/>
        <v>2013/01/04 14:30:00</v>
      </c>
      <c r="F158" t="str">
        <v>2013/01/04 14:30:00</v>
      </c>
      <c r="G158">
        <f t="shared" si="5"/>
        <v>41278</v>
      </c>
    </row>
    <row r="159" spans="1:7">
      <c r="A159" s="1">
        <v>41306</v>
      </c>
      <c r="B159">
        <v>7.8</v>
      </c>
      <c r="C159">
        <v>7.9</v>
      </c>
      <c r="D159" t="str">
        <f t="shared" si="4"/>
        <v>2013/02/01 14:30:00</v>
      </c>
      <c r="F159" t="str">
        <v>2013/02/01 14:30:00</v>
      </c>
      <c r="G159">
        <f t="shared" si="5"/>
        <v>41306</v>
      </c>
    </row>
    <row r="160" spans="1:7">
      <c r="A160" s="1">
        <v>41341</v>
      </c>
      <c r="B160">
        <v>7.9</v>
      </c>
      <c r="C160">
        <v>7.7</v>
      </c>
      <c r="D160" t="str">
        <f t="shared" si="4"/>
        <v>2013/03/08 14:30:00</v>
      </c>
      <c r="F160" t="str">
        <v>2013/03/08 14:30:00</v>
      </c>
      <c r="G160">
        <f t="shared" si="5"/>
        <v>41341</v>
      </c>
    </row>
    <row r="161" spans="1:7">
      <c r="A161" s="1">
        <v>41369</v>
      </c>
      <c r="B161">
        <v>7.7</v>
      </c>
      <c r="C161">
        <v>7.6</v>
      </c>
      <c r="D161" t="str">
        <f t="shared" si="4"/>
        <v>2013/04/05 14:30:00</v>
      </c>
      <c r="F161" t="str">
        <v>2013/04/05 14:30:00</v>
      </c>
      <c r="G161">
        <f t="shared" si="5"/>
        <v>41369</v>
      </c>
    </row>
    <row r="162" spans="1:7">
      <c r="A162" s="1">
        <v>41397</v>
      </c>
      <c r="B162">
        <v>7.6</v>
      </c>
      <c r="C162">
        <v>7.5</v>
      </c>
      <c r="D162" t="str">
        <f t="shared" si="4"/>
        <v>2013/05/03 14:30:00</v>
      </c>
      <c r="F162" t="str">
        <v>2013/05/03 14:30:00</v>
      </c>
      <c r="G162">
        <f t="shared" si="5"/>
        <v>41397</v>
      </c>
    </row>
    <row r="163" spans="1:7">
      <c r="A163" s="1">
        <v>41432</v>
      </c>
      <c r="B163">
        <v>7.5</v>
      </c>
      <c r="C163">
        <v>7.6</v>
      </c>
      <c r="D163" t="str">
        <f t="shared" si="4"/>
        <v>2013/06/07 14:30:00</v>
      </c>
      <c r="F163" t="str">
        <v>2013/06/07 14:30:00</v>
      </c>
      <c r="G163">
        <f t="shared" si="5"/>
        <v>41432</v>
      </c>
    </row>
    <row r="164" spans="1:7">
      <c r="A164" s="1">
        <v>41460</v>
      </c>
      <c r="B164">
        <v>7.5</v>
      </c>
      <c r="C164">
        <v>7.6</v>
      </c>
      <c r="D164" t="str">
        <f t="shared" si="4"/>
        <v>2013/07/05 14:30:00</v>
      </c>
      <c r="F164" t="str">
        <v>2013/07/05 14:30:00</v>
      </c>
      <c r="G164">
        <f t="shared" si="5"/>
        <v>41460</v>
      </c>
    </row>
    <row r="165" spans="1:7">
      <c r="A165" s="1">
        <v>41488</v>
      </c>
      <c r="B165">
        <v>7.5</v>
      </c>
      <c r="C165">
        <v>7.4</v>
      </c>
      <c r="D165" t="str">
        <f t="shared" si="4"/>
        <v>2013/08/02 14:30:00</v>
      </c>
      <c r="F165" t="str">
        <v>2013/08/02 14:30:00</v>
      </c>
      <c r="G165">
        <f t="shared" si="5"/>
        <v>41488</v>
      </c>
    </row>
    <row r="166" spans="1:7">
      <c r="A166" s="1">
        <v>41523</v>
      </c>
      <c r="B166">
        <v>7.4</v>
      </c>
      <c r="C166">
        <v>7.3</v>
      </c>
      <c r="D166" t="str">
        <f t="shared" si="4"/>
        <v>2013/09/06 14:30:00</v>
      </c>
      <c r="F166" t="str">
        <v>2013/09/06 14:30:00</v>
      </c>
      <c r="G166">
        <f t="shared" si="5"/>
        <v>41523</v>
      </c>
    </row>
    <row r="167" spans="1:7">
      <c r="A167" s="1">
        <v>41569</v>
      </c>
      <c r="B167">
        <v>7.3</v>
      </c>
      <c r="C167">
        <v>7.2</v>
      </c>
      <c r="D167" t="str">
        <f t="shared" si="4"/>
        <v>2013/10/22 14:30:00</v>
      </c>
      <c r="F167" t="str">
        <v>2013/10/22 14:30:00</v>
      </c>
      <c r="G167">
        <f t="shared" si="5"/>
        <v>41569</v>
      </c>
    </row>
    <row r="168" spans="1:7">
      <c r="A168" s="1">
        <v>41586</v>
      </c>
      <c r="B168">
        <v>7.3</v>
      </c>
      <c r="C168">
        <v>7.3</v>
      </c>
      <c r="D168" t="str">
        <f t="shared" si="4"/>
        <v>2013/11/08 14:30:00</v>
      </c>
      <c r="F168" t="str">
        <v>2013/11/08 14:30:00</v>
      </c>
      <c r="G168">
        <f t="shared" si="5"/>
        <v>41586</v>
      </c>
    </row>
    <row r="169" spans="1:7">
      <c r="A169" s="1">
        <v>41614</v>
      </c>
      <c r="B169">
        <v>7.2</v>
      </c>
      <c r="C169">
        <v>7</v>
      </c>
      <c r="D169" t="str">
        <f t="shared" si="4"/>
        <v>2013/12/06 14:30:00</v>
      </c>
      <c r="F169" t="str">
        <v>2013/12/06 14:30:00</v>
      </c>
      <c r="G169">
        <f t="shared" si="5"/>
        <v>41614</v>
      </c>
    </row>
    <row r="170" spans="1:7">
      <c r="A170" s="1">
        <v>41649</v>
      </c>
      <c r="B170">
        <v>7</v>
      </c>
      <c r="C170">
        <v>6.7</v>
      </c>
      <c r="D170" t="str">
        <f t="shared" si="4"/>
        <v>2014/01/10 14:30:00</v>
      </c>
      <c r="F170" t="str">
        <v>2014/01/10 14:30:00</v>
      </c>
      <c r="G170">
        <f t="shared" si="5"/>
        <v>41649</v>
      </c>
    </row>
    <row r="171" spans="1:7">
      <c r="A171" s="1">
        <v>41677</v>
      </c>
      <c r="B171">
        <v>6.7</v>
      </c>
      <c r="C171">
        <v>6.6</v>
      </c>
      <c r="D171" t="str">
        <f t="shared" si="4"/>
        <v>2014/02/07 14:30:00</v>
      </c>
      <c r="F171" t="str">
        <v>2014/02/07 14:30:00</v>
      </c>
      <c r="G171">
        <f t="shared" si="5"/>
        <v>41677</v>
      </c>
    </row>
    <row r="172" spans="1:7">
      <c r="A172" s="1">
        <v>41705</v>
      </c>
      <c r="B172">
        <v>6.6</v>
      </c>
      <c r="C172">
        <v>6.7</v>
      </c>
      <c r="D172" t="str">
        <f t="shared" si="4"/>
        <v>2014/03/07 14:30:00</v>
      </c>
      <c r="F172" t="str">
        <v>2014/03/07 14:30:00</v>
      </c>
      <c r="G172">
        <f t="shared" si="5"/>
        <v>41705</v>
      </c>
    </row>
    <row r="173" spans="1:7">
      <c r="A173" s="1">
        <v>41733</v>
      </c>
      <c r="B173">
        <v>6.6</v>
      </c>
      <c r="C173">
        <v>6.7</v>
      </c>
      <c r="D173" t="str">
        <f t="shared" si="4"/>
        <v>2014/04/04 14:30:00</v>
      </c>
      <c r="F173" t="str">
        <v>2014/04/04 14:30:00</v>
      </c>
      <c r="G173">
        <f t="shared" si="5"/>
        <v>41733</v>
      </c>
    </row>
    <row r="174" spans="1:7">
      <c r="A174" s="1">
        <v>41761</v>
      </c>
      <c r="B174">
        <v>6.6</v>
      </c>
      <c r="C174">
        <v>6.3</v>
      </c>
      <c r="D174" t="str">
        <f t="shared" si="4"/>
        <v>2014/05/02 14:30:00</v>
      </c>
      <c r="F174" t="str">
        <v>2014/05/02 14:30:00</v>
      </c>
      <c r="G174">
        <f t="shared" si="5"/>
        <v>41761</v>
      </c>
    </row>
    <row r="175" spans="1:7">
      <c r="A175" s="1">
        <v>41796</v>
      </c>
      <c r="B175">
        <v>6.4</v>
      </c>
      <c r="C175">
        <v>6.3</v>
      </c>
      <c r="D175" t="str">
        <f t="shared" si="4"/>
        <v>2014/06/06 14:30:00</v>
      </c>
      <c r="F175" t="str">
        <v>2014/06/06 14:30:00</v>
      </c>
      <c r="G175">
        <f t="shared" si="5"/>
        <v>41796</v>
      </c>
    </row>
    <row r="176" spans="1:7">
      <c r="A176" s="1">
        <v>41823</v>
      </c>
      <c r="B176">
        <v>6.3</v>
      </c>
      <c r="C176">
        <v>6.1</v>
      </c>
      <c r="D176" t="str">
        <f t="shared" si="4"/>
        <v>2014/07/03 14:30:00</v>
      </c>
      <c r="F176" t="str">
        <v>2014/07/03 14:30:00</v>
      </c>
      <c r="G176">
        <f t="shared" si="5"/>
        <v>41823</v>
      </c>
    </row>
    <row r="177" spans="1:7">
      <c r="A177" s="1">
        <v>41852</v>
      </c>
      <c r="B177">
        <v>6.1</v>
      </c>
      <c r="C177">
        <v>6.2</v>
      </c>
      <c r="D177" t="str">
        <f t="shared" si="4"/>
        <v>2014/08/01 14:30:00</v>
      </c>
      <c r="F177" t="str">
        <v>2014/08/01 14:30:00</v>
      </c>
      <c r="G177">
        <f t="shared" si="5"/>
        <v>41852</v>
      </c>
    </row>
    <row r="178" spans="1:7">
      <c r="A178" s="1">
        <v>41887</v>
      </c>
      <c r="B178">
        <v>6.1</v>
      </c>
      <c r="C178">
        <v>6.1</v>
      </c>
      <c r="D178" t="str">
        <f t="shared" si="4"/>
        <v>2014/09/05 14:30:00</v>
      </c>
      <c r="F178" t="str">
        <v>2014/09/05 14:30:00</v>
      </c>
      <c r="G178">
        <f t="shared" si="5"/>
        <v>41887</v>
      </c>
    </row>
    <row r="179" spans="1:7">
      <c r="A179" s="1">
        <v>41915</v>
      </c>
      <c r="B179">
        <v>6.1</v>
      </c>
      <c r="C179">
        <v>5.9</v>
      </c>
      <c r="D179" t="str">
        <f t="shared" si="4"/>
        <v>2014/10/03 14:30:00</v>
      </c>
      <c r="F179" t="str">
        <v>2014/10/03 14:30:00</v>
      </c>
      <c r="G179">
        <f t="shared" si="5"/>
        <v>41915</v>
      </c>
    </row>
    <row r="180" spans="1:7">
      <c r="A180" s="1">
        <v>41950</v>
      </c>
      <c r="B180">
        <v>5.9</v>
      </c>
      <c r="C180">
        <v>5.8</v>
      </c>
      <c r="D180" t="str">
        <f t="shared" si="4"/>
        <v>2014/11/07 14:30:00</v>
      </c>
      <c r="F180" t="str">
        <v>2014/11/07 14:30:00</v>
      </c>
      <c r="G180">
        <f t="shared" si="5"/>
        <v>41950</v>
      </c>
    </row>
    <row r="181" spans="1:7">
      <c r="A181" s="1">
        <v>41978</v>
      </c>
      <c r="B181">
        <v>5.8</v>
      </c>
      <c r="C181">
        <v>5.8</v>
      </c>
      <c r="D181" t="str">
        <f t="shared" si="4"/>
        <v>2014/12/05 14:30:00</v>
      </c>
      <c r="F181" t="str">
        <v>2014/12/05 14:30:00</v>
      </c>
      <c r="G181">
        <f t="shared" si="5"/>
        <v>41978</v>
      </c>
    </row>
    <row r="182" spans="1:7">
      <c r="A182" s="1">
        <v>42013</v>
      </c>
      <c r="B182">
        <v>5.7</v>
      </c>
      <c r="C182">
        <v>5.6</v>
      </c>
      <c r="D182" t="str">
        <f t="shared" si="4"/>
        <v>2015/01/09 14:30:00</v>
      </c>
      <c r="F182" t="str">
        <v>2015/01/09 14:30:00</v>
      </c>
      <c r="G182">
        <f t="shared" si="5"/>
        <v>42013</v>
      </c>
    </row>
    <row r="183" spans="1:7">
      <c r="A183" s="1">
        <v>42041</v>
      </c>
      <c r="B183">
        <v>5.6</v>
      </c>
      <c r="C183">
        <v>5.7</v>
      </c>
      <c r="D183" t="str">
        <f t="shared" si="4"/>
        <v>2015/02/06 14:30:00</v>
      </c>
      <c r="F183" t="str">
        <v>2015/02/06 14:30:00</v>
      </c>
      <c r="G183">
        <f t="shared" si="5"/>
        <v>42041</v>
      </c>
    </row>
    <row r="184" spans="1:7">
      <c r="A184" s="1">
        <v>42069</v>
      </c>
      <c r="B184">
        <v>5.6</v>
      </c>
      <c r="C184">
        <v>5.5</v>
      </c>
      <c r="D184" t="str">
        <f t="shared" si="4"/>
        <v>2015/03/06 14:30:00</v>
      </c>
      <c r="F184" t="str">
        <v>2015/03/06 14:30:00</v>
      </c>
      <c r="G184">
        <f t="shared" si="5"/>
        <v>42069</v>
      </c>
    </row>
    <row r="185" spans="1:7">
      <c r="A185" s="1">
        <v>42097</v>
      </c>
      <c r="B185">
        <v>5.5</v>
      </c>
      <c r="C185">
        <v>5.5</v>
      </c>
      <c r="D185" t="str">
        <f t="shared" si="4"/>
        <v>2015/04/03 14:30:00</v>
      </c>
      <c r="F185" t="str">
        <v>2015/04/03 14:30:00</v>
      </c>
      <c r="G185">
        <f t="shared" si="5"/>
        <v>42097</v>
      </c>
    </row>
    <row r="186" spans="1:7">
      <c r="A186" s="1">
        <v>42132</v>
      </c>
      <c r="B186">
        <v>5.4</v>
      </c>
      <c r="C186">
        <v>5.4</v>
      </c>
      <c r="D186" t="str">
        <f t="shared" si="4"/>
        <v>2015/05/08 14:30:00</v>
      </c>
      <c r="F186" t="str">
        <v>2015/05/08 14:30:00</v>
      </c>
      <c r="G186">
        <f t="shared" si="5"/>
        <v>42132</v>
      </c>
    </row>
    <row r="187" spans="1:7">
      <c r="A187" s="1">
        <v>42160</v>
      </c>
      <c r="B187">
        <v>5.4</v>
      </c>
      <c r="C187">
        <v>5.5</v>
      </c>
      <c r="D187" t="str">
        <f t="shared" si="4"/>
        <v>2015/06/05 14:30:00</v>
      </c>
      <c r="F187" t="str">
        <v>2015/06/05 14:30:00</v>
      </c>
      <c r="G187">
        <f t="shared" si="5"/>
        <v>42160</v>
      </c>
    </row>
    <row r="188" spans="1:7">
      <c r="A188" s="1">
        <v>42187</v>
      </c>
      <c r="B188">
        <v>5.4</v>
      </c>
      <c r="C188">
        <v>5.3</v>
      </c>
      <c r="D188" t="str">
        <f t="shared" si="4"/>
        <v>2015/07/02 14:30:00</v>
      </c>
      <c r="F188" t="str">
        <v>2015/07/02 14:30:00</v>
      </c>
      <c r="G188">
        <f t="shared" si="5"/>
        <v>42187</v>
      </c>
    </row>
    <row r="189" spans="1:7">
      <c r="A189" s="1">
        <v>42223</v>
      </c>
      <c r="B189">
        <v>5.3</v>
      </c>
      <c r="C189">
        <v>5.3</v>
      </c>
      <c r="D189" t="str">
        <f t="shared" si="4"/>
        <v>2015/08/07 14:30:00</v>
      </c>
      <c r="F189" t="str">
        <v>2015/08/07 14:30:00</v>
      </c>
      <c r="G189">
        <f t="shared" si="5"/>
        <v>42223</v>
      </c>
    </row>
    <row r="190" spans="1:7">
      <c r="A190" s="1">
        <v>42251</v>
      </c>
      <c r="B190">
        <v>5.2</v>
      </c>
      <c r="C190">
        <v>5.0999999999999996</v>
      </c>
      <c r="D190" t="str">
        <f t="shared" si="4"/>
        <v>2015/09/04 14:30:00</v>
      </c>
      <c r="F190" t="str">
        <v>2015/09/04 14:30:00</v>
      </c>
      <c r="G190">
        <f t="shared" si="5"/>
        <v>42251</v>
      </c>
    </row>
    <row r="191" spans="1:7">
      <c r="A191" s="1">
        <v>42279</v>
      </c>
      <c r="B191">
        <v>5.0999999999999996</v>
      </c>
      <c r="C191">
        <v>5.0999999999999996</v>
      </c>
      <c r="D191" t="str">
        <f t="shared" si="4"/>
        <v>2015/10/02 14:30:00</v>
      </c>
      <c r="F191" t="str">
        <v>2015/10/02 14:30:00</v>
      </c>
      <c r="G191">
        <f t="shared" si="5"/>
        <v>42279</v>
      </c>
    </row>
    <row r="192" spans="1:7">
      <c r="A192" s="1">
        <v>42314</v>
      </c>
      <c r="B192">
        <v>5</v>
      </c>
      <c r="C192">
        <v>5</v>
      </c>
      <c r="D192" t="str">
        <f t="shared" si="4"/>
        <v>2015/11/06 14:30:00</v>
      </c>
      <c r="F192" t="str">
        <v>2015/11/06 14:30:00</v>
      </c>
      <c r="G192">
        <f t="shared" si="5"/>
        <v>42314</v>
      </c>
    </row>
    <row r="193" spans="1:7">
      <c r="A193" s="1">
        <v>42342</v>
      </c>
      <c r="B193">
        <v>5</v>
      </c>
      <c r="C193">
        <v>5</v>
      </c>
      <c r="D193" t="str">
        <f t="shared" si="4"/>
        <v>2015/12/04 14:30:00</v>
      </c>
      <c r="F193" t="str">
        <v>2015/12/04 14:30:00</v>
      </c>
      <c r="G193">
        <f t="shared" si="5"/>
        <v>42342</v>
      </c>
    </row>
    <row r="194" spans="1:7">
      <c r="A194" s="1">
        <v>42377</v>
      </c>
      <c r="B194">
        <v>5</v>
      </c>
      <c r="C194">
        <v>5</v>
      </c>
      <c r="D194" t="str">
        <f t="shared" si="4"/>
        <v>2016/01/08 14:30:00</v>
      </c>
      <c r="F194" t="str">
        <v>2016/01/08 14:30:00</v>
      </c>
      <c r="G194">
        <f t="shared" si="5"/>
        <v>42377</v>
      </c>
    </row>
    <row r="195" spans="1:7">
      <c r="A195" s="1">
        <v>42405</v>
      </c>
      <c r="B195">
        <v>5</v>
      </c>
      <c r="C195">
        <v>4.9000000000000004</v>
      </c>
      <c r="D195" t="str">
        <f t="shared" ref="D195:D258" si="6">_xlfn.XLOOKUP(A195,$G:$G,$F:$F,"")</f>
        <v>2016/02/05 14:30:00</v>
      </c>
      <c r="F195" t="str">
        <v>2016/02/05 14:30:00</v>
      </c>
      <c r="G195">
        <f t="shared" ref="G195:G258" si="7">INT(F195)</f>
        <v>42405</v>
      </c>
    </row>
    <row r="196" spans="1:7">
      <c r="A196" s="1">
        <v>42433</v>
      </c>
      <c r="B196">
        <v>4.9000000000000004</v>
      </c>
      <c r="C196">
        <v>4.9000000000000004</v>
      </c>
      <c r="D196" t="str">
        <f t="shared" si="6"/>
        <v>2016/03/04 14:30:00</v>
      </c>
      <c r="F196" t="str">
        <v>2016/03/04 14:30:00</v>
      </c>
      <c r="G196">
        <f t="shared" si="7"/>
        <v>42433</v>
      </c>
    </row>
    <row r="197" spans="1:7">
      <c r="A197" s="1">
        <v>42461</v>
      </c>
      <c r="B197">
        <v>4.9000000000000004</v>
      </c>
      <c r="C197">
        <v>5</v>
      </c>
      <c r="D197" t="str">
        <f t="shared" si="6"/>
        <v>2016/04/01 14:30:00</v>
      </c>
      <c r="F197" t="str">
        <v>2016/04/01 14:30:00</v>
      </c>
      <c r="G197">
        <f t="shared" si="7"/>
        <v>42461</v>
      </c>
    </row>
    <row r="198" spans="1:7">
      <c r="A198" s="1">
        <v>42496</v>
      </c>
      <c r="B198">
        <v>4.9000000000000004</v>
      </c>
      <c r="C198">
        <v>5</v>
      </c>
      <c r="D198" t="str">
        <f t="shared" si="6"/>
        <v>2016/05/06 14:30:00</v>
      </c>
      <c r="F198" t="str">
        <v>2016/05/06 14:30:00</v>
      </c>
      <c r="G198">
        <f t="shared" si="7"/>
        <v>42496</v>
      </c>
    </row>
    <row r="199" spans="1:7">
      <c r="A199" s="1">
        <v>42524</v>
      </c>
      <c r="B199">
        <v>4.9000000000000004</v>
      </c>
      <c r="C199">
        <v>4.7</v>
      </c>
      <c r="D199" t="str">
        <f t="shared" si="6"/>
        <v>2016/06/03 14:30:00</v>
      </c>
      <c r="F199" t="str">
        <v>2016/06/03 14:30:00</v>
      </c>
      <c r="G199">
        <f t="shared" si="7"/>
        <v>42524</v>
      </c>
    </row>
    <row r="200" spans="1:7">
      <c r="A200" s="1">
        <v>42559</v>
      </c>
      <c r="B200">
        <v>4.8</v>
      </c>
      <c r="C200">
        <v>4.9000000000000004</v>
      </c>
      <c r="D200" t="str">
        <f t="shared" si="6"/>
        <v>2016/07/08 14:30:00</v>
      </c>
      <c r="F200" t="str">
        <v>2016/07/08 14:30:00</v>
      </c>
      <c r="G200">
        <f t="shared" si="7"/>
        <v>42559</v>
      </c>
    </row>
    <row r="201" spans="1:7">
      <c r="A201" s="1">
        <v>42587</v>
      </c>
      <c r="B201">
        <v>4.8</v>
      </c>
      <c r="C201">
        <v>4.9000000000000004</v>
      </c>
      <c r="D201" t="str">
        <f t="shared" si="6"/>
        <v>2016/08/05 14:30:00</v>
      </c>
      <c r="F201" t="str">
        <v>2016/08/05 14:30:00</v>
      </c>
      <c r="G201">
        <f t="shared" si="7"/>
        <v>42587</v>
      </c>
    </row>
    <row r="202" spans="1:7">
      <c r="A202" s="1">
        <v>42615</v>
      </c>
      <c r="B202">
        <v>4.8</v>
      </c>
      <c r="C202">
        <v>4.9000000000000004</v>
      </c>
      <c r="D202" t="str">
        <f t="shared" si="6"/>
        <v>2016/09/02 14:30:00</v>
      </c>
      <c r="F202" t="str">
        <v>2016/09/02 14:30:00</v>
      </c>
      <c r="G202">
        <f t="shared" si="7"/>
        <v>42615</v>
      </c>
    </row>
    <row r="203" spans="1:7">
      <c r="A203" s="1">
        <v>42650</v>
      </c>
      <c r="B203">
        <v>4.9000000000000004</v>
      </c>
      <c r="C203">
        <v>5</v>
      </c>
      <c r="D203" t="str">
        <f t="shared" si="6"/>
        <v>2016/10/07 14:30:00</v>
      </c>
      <c r="F203" t="str">
        <v>2016/10/07 14:30:00</v>
      </c>
      <c r="G203">
        <f t="shared" si="7"/>
        <v>42650</v>
      </c>
    </row>
    <row r="204" spans="1:7">
      <c r="A204" s="1">
        <v>42678</v>
      </c>
      <c r="B204">
        <v>4.9000000000000004</v>
      </c>
      <c r="C204">
        <v>4.9000000000000004</v>
      </c>
      <c r="D204" t="str">
        <f t="shared" si="6"/>
        <v>2016/11/04 13:30:00</v>
      </c>
      <c r="F204" t="str">
        <v>2016/11/04 13:30:00</v>
      </c>
      <c r="G204">
        <f t="shared" si="7"/>
        <v>42678</v>
      </c>
    </row>
    <row r="205" spans="1:7">
      <c r="A205" s="1">
        <v>42706</v>
      </c>
      <c r="B205">
        <v>4.9000000000000004</v>
      </c>
      <c r="C205">
        <v>4.5999999999999996</v>
      </c>
      <c r="D205" t="str">
        <f t="shared" si="6"/>
        <v>2016/12/02 14:30:00</v>
      </c>
      <c r="F205" t="str">
        <v>2016/12/02 14:30:00</v>
      </c>
      <c r="G205">
        <f t="shared" si="7"/>
        <v>42706</v>
      </c>
    </row>
    <row r="206" spans="1:7">
      <c r="A206" s="1">
        <v>42741</v>
      </c>
      <c r="B206">
        <v>4.7</v>
      </c>
      <c r="C206">
        <v>4.7</v>
      </c>
      <c r="D206" t="str">
        <f t="shared" si="6"/>
        <v>2017/01/06 14:30:00</v>
      </c>
      <c r="F206" t="str">
        <v>2017/01/06 14:30:00</v>
      </c>
      <c r="G206">
        <f t="shared" si="7"/>
        <v>42741</v>
      </c>
    </row>
    <row r="207" spans="1:7">
      <c r="A207" s="1">
        <v>42769</v>
      </c>
      <c r="B207">
        <v>4.7</v>
      </c>
      <c r="C207">
        <v>4.8</v>
      </c>
      <c r="D207" t="str">
        <f t="shared" si="6"/>
        <v>2017/02/03 14:30:00</v>
      </c>
      <c r="F207" t="str">
        <v>2017/02/03 14:30:00</v>
      </c>
      <c r="G207">
        <f t="shared" si="7"/>
        <v>42769</v>
      </c>
    </row>
    <row r="208" spans="1:7">
      <c r="A208" s="1">
        <v>42804</v>
      </c>
      <c r="B208">
        <v>4.7</v>
      </c>
      <c r="C208">
        <v>4.7</v>
      </c>
      <c r="D208" t="str">
        <f t="shared" si="6"/>
        <v>2017/03/10 14:30:00</v>
      </c>
      <c r="F208" t="str">
        <v>2017/03/10 14:30:00</v>
      </c>
      <c r="G208">
        <f t="shared" si="7"/>
        <v>42804</v>
      </c>
    </row>
    <row r="209" spans="1:7">
      <c r="A209" s="1">
        <v>42832</v>
      </c>
      <c r="B209">
        <v>4.7</v>
      </c>
      <c r="C209">
        <v>4.5</v>
      </c>
      <c r="D209" t="str">
        <f t="shared" si="6"/>
        <v>2017/04/07 14:30:00</v>
      </c>
      <c r="F209" t="str">
        <v>2017/04/07 14:30:00</v>
      </c>
      <c r="G209">
        <f t="shared" si="7"/>
        <v>42832</v>
      </c>
    </row>
    <row r="210" spans="1:7">
      <c r="A210" s="1">
        <v>42860</v>
      </c>
      <c r="B210">
        <v>4.5999999999999996</v>
      </c>
      <c r="C210">
        <v>4.4000000000000004</v>
      </c>
      <c r="D210" t="str">
        <f t="shared" si="6"/>
        <v>2017/05/05 14:30:00</v>
      </c>
      <c r="F210" t="str">
        <v>2017/05/05 14:30:00</v>
      </c>
      <c r="G210">
        <f t="shared" si="7"/>
        <v>42860</v>
      </c>
    </row>
    <row r="211" spans="1:7">
      <c r="A211" s="1">
        <v>42888</v>
      </c>
      <c r="B211">
        <v>4.4000000000000004</v>
      </c>
      <c r="C211">
        <v>4.3</v>
      </c>
      <c r="D211" t="str">
        <f t="shared" si="6"/>
        <v>2017/06/02 14:30:00</v>
      </c>
      <c r="F211" t="str">
        <v>2017/06/02 14:30:00</v>
      </c>
      <c r="G211">
        <f t="shared" si="7"/>
        <v>42888</v>
      </c>
    </row>
    <row r="212" spans="1:7">
      <c r="A212" s="1">
        <v>42923</v>
      </c>
      <c r="B212">
        <v>4.3</v>
      </c>
      <c r="C212">
        <v>4.4000000000000004</v>
      </c>
      <c r="D212" t="str">
        <f t="shared" si="6"/>
        <v>2017/07/07 14:30:00</v>
      </c>
      <c r="F212" t="str">
        <v>2017/07/07 14:30:00</v>
      </c>
      <c r="G212">
        <f t="shared" si="7"/>
        <v>42923</v>
      </c>
    </row>
    <row r="213" spans="1:7">
      <c r="A213" s="1">
        <v>42951</v>
      </c>
      <c r="B213">
        <v>4.3</v>
      </c>
      <c r="C213">
        <v>4.3</v>
      </c>
      <c r="D213" t="str">
        <f t="shared" si="6"/>
        <v>2017/08/04 14:30:00</v>
      </c>
      <c r="F213" t="str">
        <v>2017/08/04 14:30:00</v>
      </c>
      <c r="G213">
        <f t="shared" si="7"/>
        <v>42951</v>
      </c>
    </row>
    <row r="214" spans="1:7">
      <c r="A214" s="1">
        <v>42979</v>
      </c>
      <c r="B214">
        <v>4.3</v>
      </c>
      <c r="C214">
        <v>4.4000000000000004</v>
      </c>
      <c r="D214" t="str">
        <f t="shared" si="6"/>
        <v>2017/09/01 14:30:00</v>
      </c>
      <c r="F214" t="str">
        <v>2017/09/01 14:30:00</v>
      </c>
      <c r="G214">
        <f t="shared" si="7"/>
        <v>42979</v>
      </c>
    </row>
    <row r="215" spans="1:7">
      <c r="A215" s="1">
        <v>43014</v>
      </c>
      <c r="B215">
        <v>4.4000000000000004</v>
      </c>
      <c r="C215">
        <v>4.2</v>
      </c>
      <c r="D215" t="str">
        <f t="shared" si="6"/>
        <v>2017/10/06 14:30:00</v>
      </c>
      <c r="F215" t="str">
        <v>2017/10/06 14:30:00</v>
      </c>
      <c r="G215">
        <f t="shared" si="7"/>
        <v>43014</v>
      </c>
    </row>
    <row r="216" spans="1:7">
      <c r="A216" s="1">
        <v>43042</v>
      </c>
      <c r="B216">
        <v>4.2</v>
      </c>
      <c r="C216">
        <v>4.0999999999999996</v>
      </c>
      <c r="D216" t="str">
        <f t="shared" si="6"/>
        <v>2017/11/03 13:30:00</v>
      </c>
      <c r="F216" t="str">
        <v>2017/11/03 13:30:00</v>
      </c>
      <c r="G216">
        <f t="shared" si="7"/>
        <v>43042</v>
      </c>
    </row>
    <row r="217" spans="1:7">
      <c r="A217" s="1">
        <v>43077</v>
      </c>
      <c r="B217">
        <v>4.0999999999999996</v>
      </c>
      <c r="C217">
        <v>4.0999999999999996</v>
      </c>
      <c r="D217" t="str">
        <f t="shared" si="6"/>
        <v>2017/12/08 14:30:00</v>
      </c>
      <c r="F217" t="str">
        <v>2017/12/08 14:30:00</v>
      </c>
      <c r="G217">
        <f t="shared" si="7"/>
        <v>43077</v>
      </c>
    </row>
    <row r="218" spans="1:7">
      <c r="A218" s="1">
        <v>43105</v>
      </c>
      <c r="B218">
        <v>4.0999999999999996</v>
      </c>
      <c r="C218">
        <v>4.0999999999999996</v>
      </c>
      <c r="D218" t="str">
        <f t="shared" si="6"/>
        <v>2018/01/05 14:30:00</v>
      </c>
      <c r="F218" t="str">
        <v>2018/01/05 14:30:00</v>
      </c>
      <c r="G218">
        <f t="shared" si="7"/>
        <v>43105</v>
      </c>
    </row>
    <row r="219" spans="1:7">
      <c r="A219" s="1">
        <v>43133</v>
      </c>
      <c r="B219">
        <v>4.0999999999999996</v>
      </c>
      <c r="C219">
        <v>4.0999999999999996</v>
      </c>
      <c r="D219" t="str">
        <f t="shared" si="6"/>
        <v>2018/02/02 14:30:00</v>
      </c>
      <c r="F219" t="str">
        <v>2018/02/02 14:30:00</v>
      </c>
      <c r="G219">
        <f t="shared" si="7"/>
        <v>43133</v>
      </c>
    </row>
    <row r="220" spans="1:7">
      <c r="A220" s="1">
        <v>43168</v>
      </c>
      <c r="B220">
        <v>4</v>
      </c>
      <c r="C220">
        <v>4.0999999999999996</v>
      </c>
      <c r="D220" t="str">
        <f t="shared" si="6"/>
        <v>2018/03/09 14:30:00</v>
      </c>
      <c r="F220" t="str">
        <v>2018/03/09 14:30:00</v>
      </c>
      <c r="G220">
        <f t="shared" si="7"/>
        <v>43168</v>
      </c>
    </row>
    <row r="221" spans="1:7">
      <c r="A221" s="1">
        <v>43196</v>
      </c>
      <c r="B221">
        <v>4</v>
      </c>
      <c r="C221">
        <v>4.0999999999999996</v>
      </c>
      <c r="D221" t="str">
        <f t="shared" si="6"/>
        <v>2018/04/06 14:30:00</v>
      </c>
      <c r="F221" t="str">
        <v>2018/04/06 14:30:00</v>
      </c>
      <c r="G221">
        <f t="shared" si="7"/>
        <v>43196</v>
      </c>
    </row>
    <row r="222" spans="1:7">
      <c r="A222" s="1">
        <v>43224</v>
      </c>
      <c r="B222">
        <v>4</v>
      </c>
      <c r="C222">
        <v>3.9</v>
      </c>
      <c r="D222" t="str">
        <f t="shared" si="6"/>
        <v>2018/05/04 14:30:00</v>
      </c>
      <c r="F222" t="str">
        <v>2018/05/04 14:30:00</v>
      </c>
      <c r="G222">
        <f t="shared" si="7"/>
        <v>43224</v>
      </c>
    </row>
    <row r="223" spans="1:7">
      <c r="A223" s="1">
        <v>43252</v>
      </c>
      <c r="B223">
        <v>3.9</v>
      </c>
      <c r="C223">
        <v>3.8</v>
      </c>
      <c r="D223" t="str">
        <f t="shared" si="6"/>
        <v>2018/06/01 14:30:00</v>
      </c>
      <c r="F223" t="str">
        <v>2018/06/01 14:30:00</v>
      </c>
      <c r="G223">
        <f t="shared" si="7"/>
        <v>43252</v>
      </c>
    </row>
    <row r="224" spans="1:7">
      <c r="A224" s="1">
        <v>43287</v>
      </c>
      <c r="B224">
        <v>3.8</v>
      </c>
      <c r="C224">
        <v>4</v>
      </c>
      <c r="D224" t="str">
        <f t="shared" si="6"/>
        <v>2018/07/06 14:30:00</v>
      </c>
      <c r="F224" t="str">
        <v>2018/07/06 14:30:00</v>
      </c>
      <c r="G224">
        <f t="shared" si="7"/>
        <v>43287</v>
      </c>
    </row>
    <row r="225" spans="1:7">
      <c r="A225" s="1">
        <v>43315</v>
      </c>
      <c r="B225">
        <v>3.9</v>
      </c>
      <c r="C225">
        <v>3.9</v>
      </c>
      <c r="D225" t="str">
        <f t="shared" si="6"/>
        <v>2018/08/03 14:30:00</v>
      </c>
      <c r="F225" t="str">
        <v>2018/08/03 14:30:00</v>
      </c>
      <c r="G225">
        <f t="shared" si="7"/>
        <v>43315</v>
      </c>
    </row>
    <row r="226" spans="1:7">
      <c r="A226" s="1">
        <v>43350</v>
      </c>
      <c r="B226">
        <v>3.8</v>
      </c>
      <c r="C226">
        <v>3.9</v>
      </c>
      <c r="D226" t="str">
        <f t="shared" si="6"/>
        <v>2018/09/07 14:30:00</v>
      </c>
      <c r="F226" t="str">
        <v>2018/09/07 14:30:00</v>
      </c>
      <c r="G226">
        <f t="shared" si="7"/>
        <v>43350</v>
      </c>
    </row>
    <row r="227" spans="1:7">
      <c r="A227" s="1">
        <v>43378</v>
      </c>
      <c r="B227">
        <v>3.8</v>
      </c>
      <c r="C227">
        <v>3.7</v>
      </c>
      <c r="D227" t="str">
        <f t="shared" si="6"/>
        <v>2018/10/05 14:30:00</v>
      </c>
      <c r="F227" t="str">
        <v>2018/10/05 14:30:00</v>
      </c>
      <c r="G227">
        <f t="shared" si="7"/>
        <v>43378</v>
      </c>
    </row>
    <row r="228" spans="1:7">
      <c r="A228" s="1">
        <v>43406</v>
      </c>
      <c r="B228">
        <v>3.7</v>
      </c>
      <c r="C228">
        <v>3.7</v>
      </c>
      <c r="D228" t="str">
        <f t="shared" si="6"/>
        <v>2018/11/02 13:30:00</v>
      </c>
      <c r="F228" t="str">
        <v>2018/11/02 13:30:00</v>
      </c>
      <c r="G228">
        <f t="shared" si="7"/>
        <v>43406</v>
      </c>
    </row>
    <row r="229" spans="1:7">
      <c r="A229" s="1">
        <v>43441</v>
      </c>
      <c r="B229">
        <v>3.7</v>
      </c>
      <c r="C229">
        <v>3.7</v>
      </c>
      <c r="D229" t="str">
        <f t="shared" si="6"/>
        <v>2018/12/07 14:30:00</v>
      </c>
      <c r="F229" t="str">
        <v>2018/12/07 14:30:00</v>
      </c>
      <c r="G229">
        <f t="shared" si="7"/>
        <v>43441</v>
      </c>
    </row>
    <row r="230" spans="1:7">
      <c r="A230" s="1">
        <v>43469</v>
      </c>
      <c r="B230">
        <v>3.7</v>
      </c>
      <c r="C230">
        <v>3.9</v>
      </c>
      <c r="D230" t="str">
        <f t="shared" si="6"/>
        <v>2019/01/04 14:30:00</v>
      </c>
      <c r="F230" t="str">
        <v>2019/01/04 14:30:00</v>
      </c>
      <c r="G230">
        <f t="shared" si="7"/>
        <v>43469</v>
      </c>
    </row>
    <row r="231" spans="1:7">
      <c r="A231" s="1">
        <v>43497</v>
      </c>
      <c r="B231">
        <v>3.9</v>
      </c>
      <c r="C231">
        <v>4</v>
      </c>
      <c r="D231" t="str">
        <f t="shared" si="6"/>
        <v>2019/02/01 14:30:00</v>
      </c>
      <c r="F231" t="str">
        <v>2019/02/01 14:30:00</v>
      </c>
      <c r="G231">
        <f t="shared" si="7"/>
        <v>43497</v>
      </c>
    </row>
    <row r="232" spans="1:7">
      <c r="A232" s="1">
        <v>43532</v>
      </c>
      <c r="B232">
        <v>3.9</v>
      </c>
      <c r="C232">
        <v>3.8</v>
      </c>
      <c r="D232" t="str">
        <f t="shared" si="6"/>
        <v>2019/03/08 14:30:00</v>
      </c>
      <c r="F232" t="str">
        <v>2019/03/08 14:30:00</v>
      </c>
      <c r="G232">
        <f t="shared" si="7"/>
        <v>43532</v>
      </c>
    </row>
    <row r="233" spans="1:7">
      <c r="A233" s="1">
        <v>43560</v>
      </c>
      <c r="B233">
        <v>3.8</v>
      </c>
      <c r="C233">
        <v>3.8</v>
      </c>
      <c r="D233" t="str">
        <f t="shared" si="6"/>
        <v>2019/04/05 14:30:00</v>
      </c>
      <c r="F233" t="str">
        <v>2019/04/05 14:30:00</v>
      </c>
      <c r="G233">
        <f t="shared" si="7"/>
        <v>43560</v>
      </c>
    </row>
    <row r="234" spans="1:7">
      <c r="A234" s="1">
        <v>43588</v>
      </c>
      <c r="B234">
        <v>3.8</v>
      </c>
      <c r="C234">
        <v>3.6</v>
      </c>
      <c r="D234" t="str">
        <f t="shared" si="6"/>
        <v>2019/05/03 14:30:00</v>
      </c>
      <c r="F234" t="str">
        <v>2019/05/03 14:30:00</v>
      </c>
      <c r="G234">
        <f t="shared" si="7"/>
        <v>43588</v>
      </c>
    </row>
    <row r="235" spans="1:7">
      <c r="A235" s="1">
        <v>43623</v>
      </c>
      <c r="B235">
        <v>3.6</v>
      </c>
      <c r="C235">
        <v>3.6</v>
      </c>
      <c r="D235" t="str">
        <f t="shared" si="6"/>
        <v>2019/06/07 14:30:00</v>
      </c>
      <c r="F235" t="str">
        <v>2019/06/07 14:30:00</v>
      </c>
      <c r="G235">
        <f t="shared" si="7"/>
        <v>43623</v>
      </c>
    </row>
    <row r="236" spans="1:7">
      <c r="A236" s="1">
        <v>43651</v>
      </c>
      <c r="B236">
        <v>3.6</v>
      </c>
      <c r="C236">
        <v>3.7</v>
      </c>
      <c r="D236" t="str">
        <f t="shared" si="6"/>
        <v>2019/07/05 14:30:00</v>
      </c>
      <c r="F236" t="str">
        <v>2019/07/05 14:30:00</v>
      </c>
      <c r="G236">
        <f t="shared" si="7"/>
        <v>43651</v>
      </c>
    </row>
    <row r="237" spans="1:7">
      <c r="A237" s="1">
        <v>43679</v>
      </c>
      <c r="B237">
        <v>3.6</v>
      </c>
      <c r="C237">
        <v>3.7</v>
      </c>
      <c r="D237" t="str">
        <f t="shared" si="6"/>
        <v>2019/08/02 14:30:00</v>
      </c>
      <c r="F237" t="str">
        <v>2019/08/02 14:30:00</v>
      </c>
      <c r="G237">
        <f t="shared" si="7"/>
        <v>43679</v>
      </c>
    </row>
    <row r="238" spans="1:7">
      <c r="A238" s="1">
        <v>43714</v>
      </c>
      <c r="B238">
        <v>3.7</v>
      </c>
      <c r="C238">
        <v>3.7</v>
      </c>
      <c r="D238" t="str">
        <f t="shared" si="6"/>
        <v>2019/09/06 14:30:00</v>
      </c>
      <c r="F238" t="str">
        <v>2019/09/06 14:30:00</v>
      </c>
      <c r="G238">
        <f t="shared" si="7"/>
        <v>43714</v>
      </c>
    </row>
    <row r="239" spans="1:7">
      <c r="A239" s="1">
        <v>43742</v>
      </c>
      <c r="B239">
        <v>3.7</v>
      </c>
      <c r="C239">
        <v>3.5</v>
      </c>
      <c r="D239" t="str">
        <f t="shared" si="6"/>
        <v>2019/10/04 14:30:00</v>
      </c>
      <c r="F239" t="str">
        <v>2019/10/04 14:30:00</v>
      </c>
      <c r="G239">
        <f t="shared" si="7"/>
        <v>43742</v>
      </c>
    </row>
    <row r="240" spans="1:7">
      <c r="A240" s="1">
        <v>43770</v>
      </c>
      <c r="B240">
        <v>3.6</v>
      </c>
      <c r="C240">
        <v>3.6</v>
      </c>
      <c r="D240" t="str">
        <f t="shared" si="6"/>
        <v>2019/11/01 13:30:00</v>
      </c>
      <c r="F240" t="str">
        <v>2019/11/01 13:30:00</v>
      </c>
      <c r="G240">
        <f t="shared" si="7"/>
        <v>43770</v>
      </c>
    </row>
    <row r="241" spans="1:7">
      <c r="A241" s="1">
        <v>43805</v>
      </c>
      <c r="B241">
        <v>3.6</v>
      </c>
      <c r="C241">
        <v>3.5</v>
      </c>
      <c r="D241" t="str">
        <f t="shared" si="6"/>
        <v>2019/12/06 14:30:00</v>
      </c>
      <c r="F241" t="str">
        <v>2019/12/06 14:30:00</v>
      </c>
      <c r="G241">
        <f t="shared" si="7"/>
        <v>43805</v>
      </c>
    </row>
    <row r="242" spans="1:7">
      <c r="A242" s="1">
        <v>43840</v>
      </c>
      <c r="B242">
        <v>3.5</v>
      </c>
      <c r="C242">
        <v>3.5</v>
      </c>
      <c r="D242" t="str">
        <f t="shared" si="6"/>
        <v>2020/01/10 14:30:00</v>
      </c>
      <c r="F242" t="str">
        <v>2020/01/10 14:30:00</v>
      </c>
      <c r="G242">
        <f t="shared" si="7"/>
        <v>43840</v>
      </c>
    </row>
    <row r="243" spans="1:7">
      <c r="A243" s="1">
        <v>43868</v>
      </c>
      <c r="B243">
        <v>3.5</v>
      </c>
      <c r="C243">
        <v>3.6</v>
      </c>
      <c r="D243" t="str">
        <f t="shared" si="6"/>
        <v>2020/02/07 14:30:00</v>
      </c>
      <c r="F243" t="str">
        <v>2020/02/07 14:30:00</v>
      </c>
      <c r="G243">
        <f t="shared" si="7"/>
        <v>43868</v>
      </c>
    </row>
    <row r="244" spans="1:7">
      <c r="A244" s="1">
        <v>43896</v>
      </c>
      <c r="B244">
        <v>3.6</v>
      </c>
      <c r="C244">
        <v>3.5</v>
      </c>
      <c r="D244" t="str">
        <f t="shared" si="6"/>
        <v>2020/03/06 14:30:00</v>
      </c>
      <c r="F244" t="str">
        <v>2020/03/06 14:30:00</v>
      </c>
      <c r="G244">
        <f t="shared" si="7"/>
        <v>43896</v>
      </c>
    </row>
    <row r="245" spans="1:7">
      <c r="A245" s="1">
        <v>43924</v>
      </c>
      <c r="B245">
        <v>3.8</v>
      </c>
      <c r="C245">
        <v>4.4000000000000004</v>
      </c>
      <c r="D245" t="str">
        <f t="shared" si="6"/>
        <v>2020/04/03 14:30:00</v>
      </c>
      <c r="F245" t="str">
        <v>2020/04/03 14:30:00</v>
      </c>
      <c r="G245">
        <f t="shared" si="7"/>
        <v>43924</v>
      </c>
    </row>
    <row r="246" spans="1:7">
      <c r="A246" s="1">
        <v>43959</v>
      </c>
      <c r="B246">
        <v>16</v>
      </c>
      <c r="C246">
        <v>14.7</v>
      </c>
      <c r="D246" t="str">
        <f t="shared" si="6"/>
        <v>2020/05/08 14:30:00</v>
      </c>
      <c r="F246" t="str">
        <v>2020/05/08 14:30:00</v>
      </c>
      <c r="G246">
        <f t="shared" si="7"/>
        <v>43959</v>
      </c>
    </row>
    <row r="247" spans="1:7">
      <c r="A247" s="1">
        <v>43987</v>
      </c>
      <c r="B247">
        <v>19</v>
      </c>
      <c r="C247">
        <v>13.3</v>
      </c>
      <c r="D247" t="str">
        <f t="shared" si="6"/>
        <v>2020/06/05 14:30:00</v>
      </c>
      <c r="F247" t="str">
        <v>2020/06/05 14:30:00</v>
      </c>
      <c r="G247">
        <f t="shared" si="7"/>
        <v>43987</v>
      </c>
    </row>
    <row r="248" spans="1:7">
      <c r="A248" s="1">
        <v>44014</v>
      </c>
      <c r="B248">
        <v>12.5</v>
      </c>
      <c r="C248">
        <v>11.1</v>
      </c>
      <c r="D248" t="str">
        <f t="shared" si="6"/>
        <v>2020/07/02 14:30:00</v>
      </c>
      <c r="F248" t="str">
        <v>2020/07/02 14:30:00</v>
      </c>
      <c r="G248">
        <f t="shared" si="7"/>
        <v>44014</v>
      </c>
    </row>
    <row r="249" spans="1:7">
      <c r="A249" s="1">
        <v>44050</v>
      </c>
      <c r="B249">
        <v>10.6</v>
      </c>
      <c r="C249">
        <v>10.199999999999999</v>
      </c>
      <c r="D249" t="str">
        <f t="shared" si="6"/>
        <v>2020/08/07 14:30:00</v>
      </c>
      <c r="F249" t="str">
        <v>2020/08/07 14:30:00</v>
      </c>
      <c r="G249">
        <f t="shared" si="7"/>
        <v>44050</v>
      </c>
    </row>
    <row r="250" spans="1:7">
      <c r="A250" s="1">
        <v>44078</v>
      </c>
      <c r="B250">
        <v>9.8000000000000007</v>
      </c>
      <c r="C250">
        <v>8.4</v>
      </c>
      <c r="D250" t="str">
        <f t="shared" si="6"/>
        <v>2020/09/04 14:30:00</v>
      </c>
      <c r="F250" t="str">
        <v>2020/09/04 14:30:00</v>
      </c>
      <c r="G250">
        <f t="shared" si="7"/>
        <v>44078</v>
      </c>
    </row>
    <row r="251" spans="1:7">
      <c r="A251" s="1">
        <v>44106</v>
      </c>
      <c r="B251">
        <v>8.1999999999999993</v>
      </c>
      <c r="C251">
        <v>7.9</v>
      </c>
      <c r="D251" t="str">
        <f t="shared" si="6"/>
        <v>2020/10/02 14:30:00</v>
      </c>
      <c r="F251" t="str">
        <v>2020/10/02 14:30:00</v>
      </c>
      <c r="G251">
        <f t="shared" si="7"/>
        <v>44106</v>
      </c>
    </row>
    <row r="252" spans="1:7">
      <c r="A252" s="1">
        <v>44141</v>
      </c>
      <c r="B252">
        <v>7.6</v>
      </c>
      <c r="C252">
        <v>6.9</v>
      </c>
      <c r="D252" t="str">
        <f t="shared" si="6"/>
        <v>2020/11/06 14:30:00</v>
      </c>
      <c r="F252" t="str">
        <v>2020/11/06 14:30:00</v>
      </c>
      <c r="G252">
        <f t="shared" si="7"/>
        <v>44141</v>
      </c>
    </row>
    <row r="253" spans="1:7">
      <c r="A253" s="1">
        <v>44169</v>
      </c>
      <c r="B253">
        <v>6.7</v>
      </c>
      <c r="C253">
        <v>6.7</v>
      </c>
      <c r="D253" t="str">
        <f t="shared" si="6"/>
        <v>2020/12/04 14:30:00</v>
      </c>
      <c r="F253" t="str">
        <v>2020/12/04 14:30:00</v>
      </c>
      <c r="G253">
        <f t="shared" si="7"/>
        <v>44169</v>
      </c>
    </row>
    <row r="254" spans="1:7">
      <c r="A254" s="1">
        <v>44204</v>
      </c>
      <c r="B254">
        <v>6.8</v>
      </c>
      <c r="C254">
        <v>6.7</v>
      </c>
      <c r="D254" t="str">
        <f t="shared" si="6"/>
        <v>2021/01/08 14:30:00</v>
      </c>
      <c r="F254" t="str">
        <v>2021/01/08 14:30:00</v>
      </c>
      <c r="G254">
        <f t="shared" si="7"/>
        <v>44204</v>
      </c>
    </row>
    <row r="255" spans="1:7">
      <c r="A255" s="1">
        <v>44232</v>
      </c>
      <c r="B255">
        <v>6.7</v>
      </c>
      <c r="C255">
        <v>6.3</v>
      </c>
      <c r="D255" t="str">
        <f t="shared" si="6"/>
        <v>2021/02/05 14:30:00</v>
      </c>
      <c r="F255" t="str">
        <v>2021/02/05 14:30:00</v>
      </c>
      <c r="G255">
        <f t="shared" si="7"/>
        <v>44232</v>
      </c>
    </row>
    <row r="256" spans="1:7">
      <c r="A256" s="1">
        <v>44260</v>
      </c>
      <c r="B256">
        <v>6.3</v>
      </c>
      <c r="C256">
        <v>6.2</v>
      </c>
      <c r="D256" t="str">
        <f t="shared" si="6"/>
        <v>2021/03/05 14:30:00</v>
      </c>
      <c r="F256" t="str">
        <v>2021/03/05 14:30:00</v>
      </c>
      <c r="G256">
        <f t="shared" si="7"/>
        <v>44260</v>
      </c>
    </row>
    <row r="257" spans="1:7">
      <c r="A257" s="1">
        <v>44288</v>
      </c>
      <c r="B257">
        <v>6</v>
      </c>
      <c r="C257">
        <v>6</v>
      </c>
      <c r="D257" t="str">
        <f t="shared" si="6"/>
        <v>2021/04/02 14:30:00</v>
      </c>
      <c r="F257" t="str">
        <v>2021/04/02 14:30:00</v>
      </c>
      <c r="G257">
        <f t="shared" si="7"/>
        <v>44288</v>
      </c>
    </row>
    <row r="258" spans="1:7">
      <c r="A258" s="1">
        <v>44323</v>
      </c>
      <c r="B258">
        <v>5.8</v>
      </c>
      <c r="C258">
        <v>6.1</v>
      </c>
      <c r="D258" t="str">
        <f t="shared" si="6"/>
        <v>2021/05/07 14:30:00</v>
      </c>
      <c r="F258" t="str">
        <v>2021/05/07 14:30:00</v>
      </c>
      <c r="G258">
        <f t="shared" si="7"/>
        <v>44323</v>
      </c>
    </row>
    <row r="259" spans="1:7">
      <c r="A259" s="1">
        <v>44351</v>
      </c>
      <c r="B259">
        <v>5.9</v>
      </c>
      <c r="C259">
        <v>5.8</v>
      </c>
      <c r="D259" t="str">
        <f t="shared" ref="D259:D315" si="8">_xlfn.XLOOKUP(A259,$G:$G,$F:$F,"")</f>
        <v>2021/06/04 14:30:00</v>
      </c>
      <c r="F259" t="str">
        <v>2021/06/04 14:30:00</v>
      </c>
      <c r="G259">
        <f t="shared" ref="G259:G315" si="9">INT(F259)</f>
        <v>44351</v>
      </c>
    </row>
    <row r="260" spans="1:7">
      <c r="A260" s="1">
        <v>44379</v>
      </c>
      <c r="B260">
        <v>5.6</v>
      </c>
      <c r="C260">
        <v>5.9</v>
      </c>
      <c r="D260" t="str">
        <f t="shared" si="8"/>
        <v>2021/07/02 14:30:00</v>
      </c>
      <c r="F260" t="str">
        <v>2021/07/02 14:30:00</v>
      </c>
      <c r="G260">
        <f t="shared" si="9"/>
        <v>44379</v>
      </c>
    </row>
    <row r="261" spans="1:7">
      <c r="A261" s="1">
        <v>44414</v>
      </c>
      <c r="B261">
        <v>5.7</v>
      </c>
      <c r="C261">
        <v>5.4</v>
      </c>
      <c r="D261" t="str">
        <f t="shared" si="8"/>
        <v>2021/08/06 14:30:00</v>
      </c>
      <c r="F261" t="str">
        <v>2021/08/06 14:30:00</v>
      </c>
      <c r="G261">
        <f t="shared" si="9"/>
        <v>44414</v>
      </c>
    </row>
    <row r="262" spans="1:7">
      <c r="A262" s="1">
        <v>44442</v>
      </c>
      <c r="B262">
        <v>5.2</v>
      </c>
      <c r="C262">
        <v>5.2</v>
      </c>
      <c r="D262" t="str">
        <f t="shared" si="8"/>
        <v>2021/09/03 14:30:00</v>
      </c>
      <c r="F262" t="str">
        <v>2021/09/03 14:30:00</v>
      </c>
      <c r="G262">
        <f t="shared" si="9"/>
        <v>44442</v>
      </c>
    </row>
    <row r="263" spans="1:7">
      <c r="A263" s="1">
        <v>44477</v>
      </c>
      <c r="B263">
        <v>5.0999999999999996</v>
      </c>
      <c r="C263">
        <v>4.8</v>
      </c>
      <c r="D263" t="str">
        <f t="shared" si="8"/>
        <v>2021/10/08 14:30:00</v>
      </c>
      <c r="F263" t="str">
        <v>2021/10/08 14:30:00</v>
      </c>
      <c r="G263">
        <f t="shared" si="9"/>
        <v>44477</v>
      </c>
    </row>
    <row r="264" spans="1:7">
      <c r="A264" s="1">
        <v>44505</v>
      </c>
      <c r="B264">
        <v>4.7</v>
      </c>
      <c r="C264">
        <v>4.5999999999999996</v>
      </c>
      <c r="D264" t="str">
        <f t="shared" si="8"/>
        <v>2021/11/05 13:30:00</v>
      </c>
      <c r="F264" t="str">
        <v>2021/11/05 13:30:00</v>
      </c>
      <c r="G264">
        <f t="shared" si="9"/>
        <v>44505</v>
      </c>
    </row>
    <row r="265" spans="1:7">
      <c r="A265" s="1">
        <v>44533</v>
      </c>
      <c r="B265">
        <v>4.5</v>
      </c>
      <c r="C265">
        <v>4.2</v>
      </c>
      <c r="D265" t="str">
        <f t="shared" si="8"/>
        <v>2021/12/03 14:30:00</v>
      </c>
      <c r="F265" t="str">
        <v>2021/12/03 14:30:00</v>
      </c>
      <c r="G265">
        <f t="shared" si="9"/>
        <v>44533</v>
      </c>
    </row>
    <row r="266" spans="1:7">
      <c r="A266" s="1">
        <v>44568</v>
      </c>
      <c r="B266">
        <v>4.0999999999999996</v>
      </c>
      <c r="C266">
        <v>3.9</v>
      </c>
      <c r="D266" t="str">
        <f t="shared" si="8"/>
        <v>2022/01/07 14:30:00</v>
      </c>
      <c r="F266" t="str">
        <v>2022/01/07 14:30:00</v>
      </c>
      <c r="G266">
        <f t="shared" si="9"/>
        <v>44568</v>
      </c>
    </row>
    <row r="267" spans="1:7">
      <c r="A267" s="1">
        <v>44596</v>
      </c>
      <c r="B267">
        <v>3.9</v>
      </c>
      <c r="C267">
        <v>4</v>
      </c>
      <c r="D267" t="str">
        <f t="shared" si="8"/>
        <v>2022/02/04 14:30:00</v>
      </c>
      <c r="F267" t="str">
        <v>2022/02/04 14:30:00</v>
      </c>
      <c r="G267">
        <f t="shared" si="9"/>
        <v>44596</v>
      </c>
    </row>
    <row r="268" spans="1:7">
      <c r="A268" s="1">
        <v>44624</v>
      </c>
      <c r="B268">
        <v>3.9</v>
      </c>
      <c r="C268">
        <v>3.8</v>
      </c>
      <c r="D268" t="str">
        <f t="shared" si="8"/>
        <v>2022/03/04 14:30:00</v>
      </c>
      <c r="F268" t="str">
        <v>2022/03/04 14:30:00</v>
      </c>
      <c r="G268">
        <f t="shared" si="9"/>
        <v>44624</v>
      </c>
    </row>
    <row r="269" spans="1:7">
      <c r="A269" s="1">
        <v>44652</v>
      </c>
      <c r="B269">
        <v>3.7</v>
      </c>
      <c r="C269">
        <v>3.6</v>
      </c>
      <c r="D269" t="str">
        <f t="shared" si="8"/>
        <v>2022/04/01 14:30:00</v>
      </c>
      <c r="F269" t="str">
        <v>2022/04/01 14:30:00</v>
      </c>
      <c r="G269">
        <f t="shared" si="9"/>
        <v>44652</v>
      </c>
    </row>
    <row r="270" spans="1:7">
      <c r="A270" s="1">
        <v>44687</v>
      </c>
      <c r="B270">
        <v>3.5</v>
      </c>
      <c r="C270">
        <v>3.6</v>
      </c>
      <c r="D270" t="str">
        <f t="shared" si="8"/>
        <v>2022/05/06 14:30:00</v>
      </c>
      <c r="F270" t="str">
        <v>2022/05/06 14:30:00</v>
      </c>
      <c r="G270">
        <f t="shared" si="9"/>
        <v>44687</v>
      </c>
    </row>
    <row r="271" spans="1:7">
      <c r="A271" s="1">
        <v>44715</v>
      </c>
      <c r="B271">
        <v>3.5</v>
      </c>
      <c r="C271">
        <v>3.6</v>
      </c>
      <c r="D271" t="str">
        <f t="shared" si="8"/>
        <v>2022/06/03 14:30:00</v>
      </c>
      <c r="F271" t="str">
        <v>2022/06/03 14:30:00</v>
      </c>
      <c r="G271">
        <f t="shared" si="9"/>
        <v>44715</v>
      </c>
    </row>
    <row r="272" spans="1:7">
      <c r="A272" s="1">
        <v>44750</v>
      </c>
      <c r="B272">
        <v>3.6</v>
      </c>
      <c r="C272">
        <v>3.6</v>
      </c>
      <c r="D272" t="str">
        <f t="shared" si="8"/>
        <v>2022/07/08 14:30:00</v>
      </c>
      <c r="F272" t="str">
        <v>2022/07/08 14:30:00</v>
      </c>
      <c r="G272">
        <f t="shared" si="9"/>
        <v>44750</v>
      </c>
    </row>
    <row r="273" spans="1:7">
      <c r="A273" s="1">
        <v>44778</v>
      </c>
      <c r="B273">
        <v>3.6</v>
      </c>
      <c r="C273">
        <v>3.5</v>
      </c>
      <c r="D273" t="str">
        <f t="shared" si="8"/>
        <v>2022/08/05 14:30:00</v>
      </c>
      <c r="F273" t="str">
        <v>2022/08/05 14:30:00</v>
      </c>
      <c r="G273">
        <f t="shared" si="9"/>
        <v>44778</v>
      </c>
    </row>
    <row r="274" spans="1:7">
      <c r="A274" s="1">
        <v>44806</v>
      </c>
      <c r="B274">
        <v>3.5</v>
      </c>
      <c r="C274">
        <v>3.7</v>
      </c>
      <c r="D274" t="str">
        <f t="shared" si="8"/>
        <v>2022/09/02 14:30:00</v>
      </c>
      <c r="F274" t="str">
        <v>2022/09/02 14:30:00</v>
      </c>
      <c r="G274">
        <f t="shared" si="9"/>
        <v>44806</v>
      </c>
    </row>
    <row r="275" spans="1:7">
      <c r="A275" s="1">
        <v>44841</v>
      </c>
      <c r="B275">
        <v>3.7</v>
      </c>
      <c r="C275">
        <v>3.5</v>
      </c>
      <c r="D275" t="str">
        <f t="shared" si="8"/>
        <v>2022/10/07 14:30:00</v>
      </c>
      <c r="F275" t="str">
        <v>2022/10/07 14:30:00</v>
      </c>
      <c r="G275">
        <f t="shared" si="9"/>
        <v>44841</v>
      </c>
    </row>
    <row r="276" spans="1:7">
      <c r="A276" s="1">
        <v>44869</v>
      </c>
      <c r="B276">
        <v>3.6</v>
      </c>
      <c r="C276">
        <v>3.7</v>
      </c>
      <c r="D276" t="str">
        <f t="shared" si="8"/>
        <v>2022/11/04 13:30:00</v>
      </c>
      <c r="F276" t="str">
        <v>2022/11/04 13:30:00</v>
      </c>
      <c r="G276">
        <f t="shared" si="9"/>
        <v>44869</v>
      </c>
    </row>
    <row r="277" spans="1:7">
      <c r="A277" s="1">
        <v>44897</v>
      </c>
      <c r="B277">
        <v>3.7</v>
      </c>
      <c r="C277">
        <v>3.7</v>
      </c>
      <c r="D277" t="str">
        <f t="shared" si="8"/>
        <v>2022/12/02 14:30:00</v>
      </c>
      <c r="F277" t="str">
        <v>2022/12/02 14:30:00</v>
      </c>
      <c r="G277">
        <f t="shared" si="9"/>
        <v>44897</v>
      </c>
    </row>
    <row r="278" spans="1:7">
      <c r="A278" s="1">
        <v>44932</v>
      </c>
      <c r="B278">
        <v>3.7</v>
      </c>
      <c r="C278">
        <v>3.5</v>
      </c>
      <c r="D278" t="str">
        <f t="shared" si="8"/>
        <v>2023/01/06 14:30:00</v>
      </c>
      <c r="F278" t="str">
        <v>2023/01/06 14:30:00</v>
      </c>
      <c r="G278">
        <f t="shared" si="9"/>
        <v>44932</v>
      </c>
    </row>
    <row r="279" spans="1:7">
      <c r="A279" s="1">
        <v>44960</v>
      </c>
      <c r="B279">
        <v>3.6</v>
      </c>
      <c r="C279">
        <v>3.4</v>
      </c>
      <c r="D279" t="str">
        <f t="shared" si="8"/>
        <v>2023/02/03 14:30:00</v>
      </c>
      <c r="F279" t="str">
        <v>2023/02/03 14:30:00</v>
      </c>
      <c r="G279">
        <f t="shared" si="9"/>
        <v>44960</v>
      </c>
    </row>
    <row r="280" spans="1:7">
      <c r="A280" s="1">
        <v>44995</v>
      </c>
      <c r="B280">
        <v>3.4</v>
      </c>
      <c r="C280">
        <v>3.6</v>
      </c>
      <c r="D280" t="str">
        <f t="shared" si="8"/>
        <v>2023/03/10 14:30:00</v>
      </c>
      <c r="F280" t="str">
        <v>2023/03/10 14:30:00</v>
      </c>
      <c r="G280">
        <f t="shared" si="9"/>
        <v>44995</v>
      </c>
    </row>
    <row r="281" spans="1:7">
      <c r="A281" s="1">
        <v>45023</v>
      </c>
      <c r="B281">
        <v>3.6</v>
      </c>
      <c r="C281">
        <v>3.5</v>
      </c>
      <c r="D281" t="str">
        <f t="shared" si="8"/>
        <v>2023/04/07 14:30:00</v>
      </c>
      <c r="F281" t="str">
        <v>2023/04/07 14:30:00</v>
      </c>
      <c r="G281">
        <f t="shared" si="9"/>
        <v>45023</v>
      </c>
    </row>
    <row r="282" spans="1:7">
      <c r="A282" s="1">
        <v>45051</v>
      </c>
      <c r="B282">
        <v>3.6</v>
      </c>
      <c r="C282">
        <v>3.4</v>
      </c>
      <c r="D282" t="str">
        <f t="shared" si="8"/>
        <v>2023/05/05 14:30:00</v>
      </c>
      <c r="F282" t="str">
        <v>2023/05/05 14:30:00</v>
      </c>
      <c r="G282">
        <f t="shared" si="9"/>
        <v>45051</v>
      </c>
    </row>
    <row r="283" spans="1:7">
      <c r="A283" s="1">
        <v>45079</v>
      </c>
      <c r="B283">
        <v>3.5</v>
      </c>
      <c r="C283">
        <v>3.7</v>
      </c>
      <c r="D283" t="str">
        <f t="shared" si="8"/>
        <v>2023/06/02 14:30:00</v>
      </c>
      <c r="F283" t="str">
        <v>2023/06/02 14:30:00</v>
      </c>
      <c r="G283">
        <f t="shared" si="9"/>
        <v>45079</v>
      </c>
    </row>
    <row r="284" spans="1:7">
      <c r="A284" s="1">
        <v>45114</v>
      </c>
      <c r="B284">
        <v>3.6</v>
      </c>
      <c r="C284">
        <v>3.6</v>
      </c>
      <c r="D284" t="str">
        <f t="shared" si="8"/>
        <v>2023/07/07 14:30:00</v>
      </c>
      <c r="F284" t="str">
        <v>2023/07/07 14:30:00</v>
      </c>
      <c r="G284">
        <f t="shared" si="9"/>
        <v>45114</v>
      </c>
    </row>
    <row r="285" spans="1:7">
      <c r="A285" s="1">
        <v>45142</v>
      </c>
      <c r="B285">
        <v>3.6</v>
      </c>
      <c r="C285">
        <v>3.5</v>
      </c>
      <c r="D285" t="str">
        <f t="shared" si="8"/>
        <v>2023/08/04 14:30:00</v>
      </c>
      <c r="F285" t="str">
        <v>2023/08/04 14:30:00</v>
      </c>
      <c r="G285">
        <f t="shared" si="9"/>
        <v>45142</v>
      </c>
    </row>
    <row r="286" spans="1:7">
      <c r="A286" s="1">
        <v>45170</v>
      </c>
      <c r="B286">
        <v>3.5</v>
      </c>
      <c r="C286">
        <v>3.8</v>
      </c>
      <c r="D286" t="str">
        <f t="shared" si="8"/>
        <v>2023/09/01 14:30:00</v>
      </c>
      <c r="F286" t="str">
        <v>2023/09/01 14:30:00</v>
      </c>
      <c r="G286">
        <f t="shared" si="9"/>
        <v>45170</v>
      </c>
    </row>
    <row r="287" spans="1:7">
      <c r="A287" s="1">
        <v>45205</v>
      </c>
      <c r="B287">
        <v>3.7</v>
      </c>
      <c r="C287">
        <v>3.8</v>
      </c>
      <c r="D287" t="str">
        <f t="shared" si="8"/>
        <v>2023/10/06 14:30:00</v>
      </c>
      <c r="F287" t="str">
        <v>2023/10/06 14:30:00</v>
      </c>
      <c r="G287">
        <f t="shared" si="9"/>
        <v>45205</v>
      </c>
    </row>
    <row r="288" spans="1:7">
      <c r="A288" s="1">
        <v>45233</v>
      </c>
      <c r="B288">
        <v>3.8</v>
      </c>
      <c r="C288">
        <v>3.9</v>
      </c>
      <c r="D288" t="str">
        <f t="shared" si="8"/>
        <v>2023/11/03 13:30:00</v>
      </c>
      <c r="F288" t="str">
        <v>2023/11/03 13:30:00</v>
      </c>
      <c r="G288">
        <f t="shared" si="9"/>
        <v>45233</v>
      </c>
    </row>
    <row r="289" spans="1:7">
      <c r="A289" s="1">
        <v>45268</v>
      </c>
      <c r="B289">
        <v>3.9</v>
      </c>
      <c r="C289">
        <v>3.7</v>
      </c>
      <c r="D289" t="str">
        <f t="shared" si="8"/>
        <v>2023/12/08 14:30:00</v>
      </c>
      <c r="F289" t="str">
        <v>2023/12/08 14:30:00</v>
      </c>
      <c r="G289">
        <f t="shared" si="9"/>
        <v>45268</v>
      </c>
    </row>
    <row r="290" spans="1:7">
      <c r="A290" s="1">
        <v>45296</v>
      </c>
      <c r="B290">
        <v>3.8</v>
      </c>
      <c r="C290">
        <v>3.7</v>
      </c>
      <c r="D290" t="str">
        <f t="shared" si="8"/>
        <v>2024/01/05 14:30:00</v>
      </c>
      <c r="F290" t="str">
        <v>2024/01/05 14:30:00</v>
      </c>
      <c r="G290">
        <f t="shared" si="9"/>
        <v>45296</v>
      </c>
    </row>
    <row r="291" spans="1:7">
      <c r="A291" s="1">
        <v>45324</v>
      </c>
      <c r="B291">
        <v>3.8</v>
      </c>
      <c r="C291">
        <v>3.7</v>
      </c>
      <c r="D291" t="str">
        <f t="shared" si="8"/>
        <v>2024/02/02 14:30:00</v>
      </c>
      <c r="F291" t="str">
        <v>2024/02/02 14:30:00</v>
      </c>
      <c r="G291">
        <f t="shared" si="9"/>
        <v>45324</v>
      </c>
    </row>
    <row r="292" spans="1:7">
      <c r="A292" s="1">
        <v>45359</v>
      </c>
      <c r="B292">
        <v>3.7</v>
      </c>
      <c r="C292">
        <v>3.9</v>
      </c>
      <c r="D292" t="str">
        <f t="shared" si="8"/>
        <v>2024/03/08 14:30:00</v>
      </c>
      <c r="F292" t="str">
        <v>2024/03/08 14:30:00</v>
      </c>
      <c r="G292">
        <f t="shared" si="9"/>
        <v>45359</v>
      </c>
    </row>
    <row r="293" spans="1:7">
      <c r="A293" s="1">
        <v>45387</v>
      </c>
      <c r="B293">
        <v>3.8</v>
      </c>
      <c r="C293">
        <v>3.8</v>
      </c>
      <c r="D293" t="str">
        <f t="shared" si="8"/>
        <v>2024/04/05 14:30:00</v>
      </c>
      <c r="F293" t="str">
        <v>2024/04/05 14:30:00</v>
      </c>
      <c r="G293">
        <f t="shared" si="9"/>
        <v>45387</v>
      </c>
    </row>
    <row r="294" spans="1:7">
      <c r="A294" s="1">
        <v>45415</v>
      </c>
      <c r="B294">
        <v>3.8</v>
      </c>
      <c r="C294">
        <v>3.9</v>
      </c>
      <c r="D294" t="str">
        <f t="shared" si="8"/>
        <v>2024/05/03 14:30:00</v>
      </c>
      <c r="F294" t="str">
        <v>2024/05/03 14:30:00</v>
      </c>
      <c r="G294">
        <f t="shared" si="9"/>
        <v>45415</v>
      </c>
    </row>
    <row r="295" spans="1:7">
      <c r="A295" s="1">
        <v>45450</v>
      </c>
      <c r="B295">
        <v>3.9</v>
      </c>
      <c r="C295">
        <v>4</v>
      </c>
      <c r="D295" t="str">
        <f t="shared" si="8"/>
        <v>2024/06/07 14:30:00</v>
      </c>
      <c r="F295" t="str">
        <v>2024/06/07 14:30:00</v>
      </c>
      <c r="G295">
        <f t="shared" si="9"/>
        <v>45450</v>
      </c>
    </row>
    <row r="296" spans="1:7">
      <c r="A296" s="1">
        <v>45478</v>
      </c>
      <c r="B296">
        <v>4</v>
      </c>
      <c r="C296">
        <v>4.0999999999999996</v>
      </c>
      <c r="D296" t="str">
        <f t="shared" si="8"/>
        <v>2024/07/05 14:30:00</v>
      </c>
      <c r="F296" t="str">
        <v>2024/07/05 14:30:00</v>
      </c>
      <c r="G296">
        <f t="shared" si="9"/>
        <v>45478</v>
      </c>
    </row>
    <row r="297" spans="1:7">
      <c r="A297" s="1">
        <v>45506</v>
      </c>
      <c r="B297">
        <v>4.0999999999999996</v>
      </c>
      <c r="C297">
        <v>4.3</v>
      </c>
      <c r="D297" t="str">
        <f t="shared" si="8"/>
        <v>2024/08/02 14:30:00</v>
      </c>
      <c r="F297" t="str">
        <v>2024/08/02 14:30:00</v>
      </c>
      <c r="G297">
        <f t="shared" si="9"/>
        <v>45506</v>
      </c>
    </row>
    <row r="298" spans="1:7">
      <c r="A298" s="1">
        <v>45541</v>
      </c>
      <c r="B298">
        <v>4.2</v>
      </c>
      <c r="C298">
        <v>4.2</v>
      </c>
      <c r="D298" t="str">
        <f t="shared" si="8"/>
        <v>2024/09/06 14:30:00</v>
      </c>
      <c r="F298" t="str">
        <v>2024/09/06 14:30:00</v>
      </c>
      <c r="G298">
        <f t="shared" si="9"/>
        <v>45541</v>
      </c>
    </row>
    <row r="299" spans="1:7">
      <c r="A299" s="1">
        <v>45569</v>
      </c>
      <c r="B299">
        <v>4.2</v>
      </c>
      <c r="C299">
        <v>4.0999999999999996</v>
      </c>
      <c r="D299" t="str">
        <f t="shared" si="8"/>
        <v>2024/10/04 14:30:00</v>
      </c>
      <c r="F299" t="str">
        <v>2024/10/04 14:30:00</v>
      </c>
      <c r="G299">
        <f t="shared" si="9"/>
        <v>45569</v>
      </c>
    </row>
    <row r="300" spans="1:7">
      <c r="A300" s="1">
        <v>45597</v>
      </c>
      <c r="B300">
        <v>4.0999999999999996</v>
      </c>
      <c r="C300">
        <v>4.0999999999999996</v>
      </c>
      <c r="D300" t="str">
        <f t="shared" si="8"/>
        <v>2024/11/01 13:30:00</v>
      </c>
      <c r="F300" t="str">
        <v>2024/11/01 13:30:00</v>
      </c>
      <c r="G300">
        <f t="shared" si="9"/>
        <v>45597</v>
      </c>
    </row>
    <row r="301" spans="1:7">
      <c r="A301" s="1">
        <v>45632</v>
      </c>
      <c r="B301">
        <v>4.0999999999999996</v>
      </c>
      <c r="C301">
        <v>4.2</v>
      </c>
      <c r="D301" t="str">
        <f t="shared" si="8"/>
        <v>2024/12/06 14:30:00</v>
      </c>
      <c r="F301" t="str">
        <v>2024/12/06 14:30:00</v>
      </c>
      <c r="G301">
        <f t="shared" si="9"/>
        <v>45632</v>
      </c>
    </row>
    <row r="302" spans="1:7">
      <c r="A302" s="1">
        <v>45667</v>
      </c>
      <c r="B302">
        <v>4.2</v>
      </c>
      <c r="C302">
        <v>4.0999999999999996</v>
      </c>
      <c r="D302" t="str">
        <f t="shared" si="8"/>
        <v>2025/01/10 14:30:00</v>
      </c>
      <c r="F302" t="str">
        <v>2025/01/10 14:30:00</v>
      </c>
      <c r="G302">
        <f t="shared" si="9"/>
        <v>45667</v>
      </c>
    </row>
    <row r="303" spans="1:7">
      <c r="A303" s="1">
        <v>45695</v>
      </c>
      <c r="B303">
        <v>4.0999999999999996</v>
      </c>
      <c r="C303">
        <v>4</v>
      </c>
      <c r="D303" t="str">
        <f t="shared" si="8"/>
        <v>2025/02/07 14:30:00</v>
      </c>
      <c r="F303" t="str">
        <v>2025/02/07 14:30:00</v>
      </c>
      <c r="G303">
        <f t="shared" si="9"/>
        <v>45695</v>
      </c>
    </row>
    <row r="304" spans="1:7">
      <c r="A304" s="1">
        <v>45723</v>
      </c>
      <c r="B304">
        <v>4</v>
      </c>
      <c r="C304">
        <v>4.0999999999999996</v>
      </c>
      <c r="D304" t="str">
        <f t="shared" si="8"/>
        <v>2025/03/07 14:30:00</v>
      </c>
      <c r="F304" t="str">
        <v>2025/03/07 14:30:00</v>
      </c>
      <c r="G304">
        <f t="shared" si="9"/>
        <v>45723</v>
      </c>
    </row>
    <row r="305" spans="1:7">
      <c r="A305" s="1">
        <v>45751</v>
      </c>
      <c r="B305">
        <v>4.0999999999999996</v>
      </c>
      <c r="C305">
        <v>4.2</v>
      </c>
      <c r="D305" t="str">
        <f t="shared" si="8"/>
        <v>2025/04/04 14:30:00</v>
      </c>
      <c r="F305" t="str">
        <v>2025/04/04 14:30:00</v>
      </c>
      <c r="G305">
        <f t="shared" si="9"/>
        <v>45751</v>
      </c>
    </row>
    <row r="306" spans="1:7">
      <c r="A306" s="1">
        <v>45779</v>
      </c>
      <c r="B306">
        <v>4.2</v>
      </c>
      <c r="C306">
        <v>4.2</v>
      </c>
      <c r="D306" t="str">
        <f t="shared" si="8"/>
        <v>2025/05/02 14:30:00</v>
      </c>
      <c r="F306" t="str">
        <v>2025/05/02 14:30:00</v>
      </c>
      <c r="G306">
        <f t="shared" si="9"/>
        <v>45779</v>
      </c>
    </row>
    <row r="307" spans="1:7">
      <c r="A307" s="1">
        <v>45814</v>
      </c>
      <c r="B307">
        <v>4.2</v>
      </c>
      <c r="C307">
        <v>4.2</v>
      </c>
      <c r="D307" t="str">
        <f t="shared" si="8"/>
        <v>2025/06/06 14:30:00</v>
      </c>
      <c r="F307" t="str">
        <v>2025/06/06 14:30:00</v>
      </c>
      <c r="G307">
        <f t="shared" si="9"/>
        <v>45814</v>
      </c>
    </row>
    <row r="308" spans="1:7">
      <c r="A308" s="1">
        <v>45841</v>
      </c>
      <c r="B308">
        <v>4.3</v>
      </c>
      <c r="C308">
        <v>4.0999999999999996</v>
      </c>
      <c r="D308" t="str">
        <f t="shared" si="8"/>
        <v>2025/07/03 14:30:00</v>
      </c>
      <c r="F308" t="str">
        <v>2025/07/03 14:30:00</v>
      </c>
      <c r="G308">
        <f t="shared" si="9"/>
        <v>45841</v>
      </c>
    </row>
    <row r="309" spans="1:7">
      <c r="A309" s="1">
        <v>45870</v>
      </c>
      <c r="B309">
        <v>4.2</v>
      </c>
      <c r="C309">
        <v>4.2</v>
      </c>
      <c r="D309" t="str">
        <f t="shared" si="8"/>
        <v>2025/08/01 14:30:00</v>
      </c>
      <c r="F309" t="str">
        <v>2025/08/01 14:30:00</v>
      </c>
      <c r="G309">
        <f t="shared" si="9"/>
        <v>45870</v>
      </c>
    </row>
    <row r="310" spans="1:7">
      <c r="A310" s="1">
        <v>45905</v>
      </c>
      <c r="B310">
        <v>4.3</v>
      </c>
      <c r="C310">
        <v>4.3</v>
      </c>
      <c r="D310" t="str">
        <f t="shared" si="8"/>
        <v>2025/09/05 14:30:00</v>
      </c>
      <c r="F310" t="str">
        <v>2025/09/05 14:30:00</v>
      </c>
      <c r="G310">
        <f t="shared" si="9"/>
        <v>45905</v>
      </c>
    </row>
    <row r="311" spans="1:7">
      <c r="A311" s="1">
        <v>45981</v>
      </c>
      <c r="B311">
        <v>4.3</v>
      </c>
      <c r="C311">
        <v>4.4000000000000004</v>
      </c>
      <c r="D311" t="str">
        <f t="shared" si="8"/>
        <v>2025/11/20 14:30:00</v>
      </c>
      <c r="F311" t="str">
        <v>2025/11/20 14:30:00</v>
      </c>
      <c r="G311">
        <f t="shared" si="9"/>
        <v>45981</v>
      </c>
    </row>
    <row r="312" spans="1:7">
      <c r="A312" s="1">
        <v>46007</v>
      </c>
      <c r="B312">
        <v>4.5</v>
      </c>
      <c r="C312">
        <v>4.5999999999999996</v>
      </c>
      <c r="D312" t="str">
        <f t="shared" si="8"/>
        <v>2025/12/16 14:30:00</v>
      </c>
      <c r="F312" t="str">
        <v>2025/12/16 14:30:00</v>
      </c>
      <c r="G312">
        <f t="shared" si="9"/>
        <v>46007</v>
      </c>
    </row>
    <row r="313" spans="1:7">
      <c r="A313" s="1">
        <v>46031</v>
      </c>
      <c r="B313">
        <v>4.5</v>
      </c>
      <c r="C313">
        <v>4.4000000000000004</v>
      </c>
      <c r="D313" t="str">
        <f t="shared" si="8"/>
        <v>2026/01/09 14:30:00</v>
      </c>
      <c r="F313" t="str">
        <v>2026/01/09 14:30:00</v>
      </c>
      <c r="G313">
        <f t="shared" si="9"/>
        <v>46031</v>
      </c>
    </row>
    <row r="314" spans="1:7">
      <c r="A314" s="1">
        <v>46064</v>
      </c>
      <c r="B314">
        <v>4.4000000000000004</v>
      </c>
      <c r="C314">
        <v>4.3</v>
      </c>
      <c r="D314" t="str">
        <f t="shared" si="8"/>
        <v>2026/02/11 14:30:00</v>
      </c>
      <c r="F314" t="str">
        <v>2026/02/11 14:30:00</v>
      </c>
      <c r="G314">
        <f t="shared" si="9"/>
        <v>46064</v>
      </c>
    </row>
    <row r="315" spans="1:7">
      <c r="A315" s="1">
        <v>46087</v>
      </c>
      <c r="B315">
        <v>4.3</v>
      </c>
      <c r="C315">
        <v>4.4000000000000004</v>
      </c>
      <c r="D315" t="str">
        <f t="shared" si="8"/>
        <v>2026/03/06 14:30:00</v>
      </c>
      <c r="F315" t="str">
        <v>2026/03/06 14:30:00</v>
      </c>
      <c r="G315">
        <f t="shared" si="9"/>
        <v>46087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4618B-C308-4E1E-9E27-65536F78BC45}">
  <dimension ref="A1:G313"/>
  <sheetViews>
    <sheetView workbookViewId="0">
      <selection activeCell="F3" sqref="F3"/>
    </sheetView>
  </sheetViews>
  <sheetFormatPr defaultRowHeight="15"/>
  <cols>
    <col min="1" max="1" width="11" customWidth="1"/>
    <col min="4" max="4" width="20.140625" customWidth="1"/>
    <col min="6" max="6" width="18.28515625" customWidth="1"/>
    <col min="16" max="16" width="28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</row>
    <row r="2" spans="1:7">
      <c r="A2" s="1" cm="1">
        <f t="array" ref="A2:C105">_xll.BDH("GDP CQOQ Index","BN_SURVEY_MEDIAN,ACTUAL_RELEASE","2000-01-01","2026-03-19", "RELEASE_DATE_OVERRIDE", "1")</f>
        <v>36615</v>
      </c>
      <c r="B2">
        <v>7</v>
      </c>
      <c r="C2">
        <v>7.3</v>
      </c>
      <c r="D2" t="str">
        <f t="shared" ref="D2:D33" si="0">_xlfn.XLOOKUP(A2,$G:$G,$F:$F,"")</f>
        <v>2000/03/30 15:30:00</v>
      </c>
      <c r="F2" t="str" cm="1">
        <f t="array" ref="F2:F313">_xll.BDS("GDP CQOQ Index","ECO_FUTURE_RELEASE_DATE_LIST","START_DT=2000-01-01","END_DT=2026-03-19", "TIME_ZONE_OVERRIDE=24")</f>
        <v>2000/01/28 14:30:00</v>
      </c>
      <c r="G2" s="3">
        <f>INT(F2)</f>
        <v>36553</v>
      </c>
    </row>
    <row r="3" spans="1:7">
      <c r="A3" s="1">
        <v>36706</v>
      </c>
      <c r="B3">
        <v>5.4</v>
      </c>
      <c r="C3">
        <v>5.5</v>
      </c>
      <c r="D3" t="str">
        <f t="shared" si="0"/>
        <v>2000/06/29 14:30:00</v>
      </c>
      <c r="F3" t="str">
        <v>2000/02/25 14:30:00</v>
      </c>
      <c r="G3" s="3">
        <f t="shared" ref="G3:G66" si="1">INT(F3)</f>
        <v>36581</v>
      </c>
    </row>
    <row r="4" spans="1:7">
      <c r="A4" s="1">
        <v>36797</v>
      </c>
      <c r="B4">
        <v>5.3</v>
      </c>
      <c r="C4">
        <v>5.6</v>
      </c>
      <c r="D4" t="str">
        <f t="shared" si="0"/>
        <v>2000/09/28 14:30:00</v>
      </c>
      <c r="F4" t="str">
        <v>2000/03/30 15:30:00</v>
      </c>
      <c r="G4" s="3">
        <f t="shared" si="1"/>
        <v>36615</v>
      </c>
    </row>
    <row r="5" spans="1:7">
      <c r="A5" s="1">
        <v>36881</v>
      </c>
      <c r="B5">
        <v>2.4</v>
      </c>
      <c r="C5">
        <v>2.2000000000000002</v>
      </c>
      <c r="D5" t="str">
        <f t="shared" si="0"/>
        <v>2000/12/21 14:30:00</v>
      </c>
      <c r="F5" t="str">
        <v>2000/04/27 14:30:00</v>
      </c>
      <c r="G5" s="3">
        <f t="shared" si="1"/>
        <v>36643</v>
      </c>
    </row>
    <row r="6" spans="1:7">
      <c r="A6" s="1">
        <v>36979</v>
      </c>
      <c r="B6">
        <v>1.1000000000000001</v>
      </c>
      <c r="C6">
        <v>1</v>
      </c>
      <c r="D6" t="str">
        <f t="shared" si="0"/>
        <v>2001/03/29 15:30:00</v>
      </c>
      <c r="F6" t="str">
        <v>2000/05/25 14:30:00</v>
      </c>
      <c r="G6" s="3">
        <f t="shared" si="1"/>
        <v>36671</v>
      </c>
    </row>
    <row r="7" spans="1:7">
      <c r="A7" s="1">
        <v>37071</v>
      </c>
      <c r="B7">
        <v>1.3</v>
      </c>
      <c r="C7">
        <v>1.2</v>
      </c>
      <c r="D7" t="str">
        <f t="shared" si="0"/>
        <v>2001/06/29 14:30:00</v>
      </c>
      <c r="F7" t="str">
        <v>2000/06/29 14:30:00</v>
      </c>
      <c r="G7" s="3">
        <f t="shared" si="1"/>
        <v>36706</v>
      </c>
    </row>
    <row r="8" spans="1:7">
      <c r="A8" s="1">
        <v>37162</v>
      </c>
      <c r="B8">
        <v>0.1</v>
      </c>
      <c r="C8">
        <v>0.3</v>
      </c>
      <c r="D8" t="str">
        <f t="shared" si="0"/>
        <v>2001/09/28 14:30:00</v>
      </c>
      <c r="F8" t="str">
        <v>2000/07/28 14:30:00</v>
      </c>
      <c r="G8" s="3">
        <f t="shared" si="1"/>
        <v>36735</v>
      </c>
    </row>
    <row r="9" spans="1:7">
      <c r="A9" s="1">
        <v>37246</v>
      </c>
      <c r="B9">
        <v>-1.1000000000000001</v>
      </c>
      <c r="C9">
        <v>-1.3</v>
      </c>
      <c r="D9" t="str">
        <f t="shared" si="0"/>
        <v>2001/12/21 14:30:00</v>
      </c>
      <c r="F9" t="str">
        <v>2000/08/25 14:30:00</v>
      </c>
      <c r="G9" s="3">
        <f t="shared" si="1"/>
        <v>36763</v>
      </c>
    </row>
    <row r="10" spans="1:7">
      <c r="A10" s="1">
        <v>37343</v>
      </c>
      <c r="B10">
        <v>1.4</v>
      </c>
      <c r="C10">
        <v>1.7</v>
      </c>
      <c r="D10" t="str">
        <f t="shared" si="0"/>
        <v>2002/03/28 14:30:00</v>
      </c>
      <c r="F10" t="str">
        <v>2000/09/28 14:30:00</v>
      </c>
      <c r="G10" s="3">
        <f t="shared" si="1"/>
        <v>36797</v>
      </c>
    </row>
    <row r="11" spans="1:7">
      <c r="A11" s="1">
        <v>37434</v>
      </c>
      <c r="B11">
        <v>5.6</v>
      </c>
      <c r="C11">
        <v>6.1</v>
      </c>
      <c r="D11" t="str">
        <f t="shared" si="0"/>
        <v>2002/06/27 14:30:00</v>
      </c>
      <c r="F11" t="str">
        <v>2000/10/27 14:30:00</v>
      </c>
      <c r="G11" s="3">
        <f t="shared" si="1"/>
        <v>36826</v>
      </c>
    </row>
    <row r="12" spans="1:7">
      <c r="A12" s="1">
        <v>37526</v>
      </c>
      <c r="B12">
        <v>1.1000000000000001</v>
      </c>
      <c r="C12">
        <v>1.3</v>
      </c>
      <c r="D12" t="str">
        <f t="shared" si="0"/>
        <v>2002/09/27 14:30:00</v>
      </c>
      <c r="F12" t="str">
        <v>2000/11/29 14:30:00</v>
      </c>
      <c r="G12" s="3">
        <f t="shared" si="1"/>
        <v>36859</v>
      </c>
    </row>
    <row r="13" spans="1:7">
      <c r="A13" s="1">
        <v>37610</v>
      </c>
      <c r="B13">
        <v>4</v>
      </c>
      <c r="C13">
        <v>4</v>
      </c>
      <c r="D13" t="str">
        <f t="shared" si="0"/>
        <v>2002/12/20 14:30:00</v>
      </c>
      <c r="F13" t="str">
        <v>2000/12/21 14:30:00</v>
      </c>
      <c r="G13" s="3">
        <f t="shared" si="1"/>
        <v>36881</v>
      </c>
    </row>
    <row r="14" spans="1:7">
      <c r="A14" s="1">
        <v>37707</v>
      </c>
      <c r="B14">
        <v>1.4</v>
      </c>
      <c r="C14">
        <v>1.4</v>
      </c>
      <c r="D14" t="str">
        <f t="shared" si="0"/>
        <v>2003/03/27 14:30:00</v>
      </c>
      <c r="F14" t="str">
        <v>2001/01/31 14:30:00</v>
      </c>
      <c r="G14" s="3">
        <f t="shared" si="1"/>
        <v>36922</v>
      </c>
    </row>
    <row r="15" spans="1:7">
      <c r="A15" s="1">
        <v>37798</v>
      </c>
      <c r="B15">
        <v>1.9</v>
      </c>
      <c r="C15">
        <v>1.4</v>
      </c>
      <c r="D15" t="str">
        <f t="shared" si="0"/>
        <v>2003/06/26 14:30:00</v>
      </c>
      <c r="F15" t="str">
        <v>2001/02/28 14:30:00</v>
      </c>
      <c r="G15" s="3">
        <f t="shared" si="1"/>
        <v>36950</v>
      </c>
    </row>
    <row r="16" spans="1:7">
      <c r="A16" s="1">
        <v>37890</v>
      </c>
      <c r="B16">
        <v>3.1</v>
      </c>
      <c r="C16">
        <v>3.3</v>
      </c>
      <c r="D16" t="str">
        <f t="shared" si="0"/>
        <v>2003/09/26 14:30:00</v>
      </c>
      <c r="F16" t="str">
        <v>2001/03/29 15:30:00</v>
      </c>
      <c r="G16" s="3">
        <f t="shared" si="1"/>
        <v>36979</v>
      </c>
    </row>
    <row r="17" spans="1:7">
      <c r="A17" s="1">
        <v>37978</v>
      </c>
      <c r="B17">
        <v>8.1999999999999993</v>
      </c>
      <c r="C17">
        <v>8.1999999999999993</v>
      </c>
      <c r="D17" t="str">
        <f t="shared" si="0"/>
        <v>2003/12/23 14:30:00</v>
      </c>
      <c r="F17" t="str">
        <v>2001/04/27 14:30:00</v>
      </c>
      <c r="G17" s="3">
        <f t="shared" si="1"/>
        <v>37008</v>
      </c>
    </row>
    <row r="18" spans="1:7">
      <c r="A18" s="1">
        <v>38071</v>
      </c>
      <c r="B18">
        <v>4.0999999999999996</v>
      </c>
      <c r="C18">
        <v>4.0999999999999996</v>
      </c>
      <c r="D18" t="str">
        <f t="shared" si="0"/>
        <v>2004/03/25 14:30:00</v>
      </c>
      <c r="F18" t="str">
        <v>2001/05/25 14:30:00</v>
      </c>
      <c r="G18" s="3">
        <f t="shared" si="1"/>
        <v>37036</v>
      </c>
    </row>
    <row r="19" spans="1:7">
      <c r="A19" s="1">
        <v>38163</v>
      </c>
      <c r="B19">
        <v>4.4000000000000004</v>
      </c>
      <c r="C19">
        <v>3.9</v>
      </c>
      <c r="D19" t="str">
        <f t="shared" si="0"/>
        <v>2004/06/25 14:30:00</v>
      </c>
      <c r="F19" t="str">
        <v>2001/06/29 14:30:00</v>
      </c>
      <c r="G19" s="3">
        <f t="shared" si="1"/>
        <v>37071</v>
      </c>
    </row>
    <row r="20" spans="1:7">
      <c r="A20" s="1">
        <v>38259</v>
      </c>
      <c r="B20">
        <v>3</v>
      </c>
      <c r="C20">
        <v>3.3</v>
      </c>
      <c r="D20" t="str">
        <f t="shared" si="0"/>
        <v>2004/09/29 14:30:00</v>
      </c>
      <c r="F20" t="str">
        <v>2001/07/27 14:30:00</v>
      </c>
      <c r="G20" s="3">
        <f t="shared" si="1"/>
        <v>37099</v>
      </c>
    </row>
    <row r="21" spans="1:7">
      <c r="A21" s="1">
        <v>38343</v>
      </c>
      <c r="B21">
        <v>3.9</v>
      </c>
      <c r="C21">
        <v>4</v>
      </c>
      <c r="D21" t="str">
        <f t="shared" si="0"/>
        <v>2004/12/22 14:30:00</v>
      </c>
      <c r="F21" t="str">
        <v>2001/08/29 14:30:00</v>
      </c>
      <c r="G21" s="3">
        <f t="shared" si="1"/>
        <v>37132</v>
      </c>
    </row>
    <row r="22" spans="1:7">
      <c r="A22" s="1">
        <v>38441</v>
      </c>
      <c r="B22">
        <v>4</v>
      </c>
      <c r="C22">
        <v>3.8</v>
      </c>
      <c r="D22" t="str">
        <f t="shared" si="0"/>
        <v>2005/03/30 15:30:00</v>
      </c>
      <c r="F22" t="str">
        <v>2001/09/28 14:30:00</v>
      </c>
      <c r="G22" s="3">
        <f t="shared" si="1"/>
        <v>37162</v>
      </c>
    </row>
    <row r="23" spans="1:7">
      <c r="A23" s="1">
        <v>38532</v>
      </c>
      <c r="B23">
        <v>3.7</v>
      </c>
      <c r="C23">
        <v>3.8</v>
      </c>
      <c r="D23" t="str">
        <f t="shared" si="0"/>
        <v>2005/06/29 14:30:00</v>
      </c>
      <c r="F23" t="str">
        <v>2001/10/31 14:30:00</v>
      </c>
      <c r="G23" s="3">
        <f t="shared" si="1"/>
        <v>37195</v>
      </c>
    </row>
    <row r="24" spans="1:7">
      <c r="A24" s="1">
        <v>38624</v>
      </c>
      <c r="B24">
        <v>3.3</v>
      </c>
      <c r="C24">
        <v>3.3</v>
      </c>
      <c r="D24" t="str">
        <f t="shared" si="0"/>
        <v>2005/09/29 14:30:00</v>
      </c>
      <c r="F24" t="str">
        <v>2001/11/30 14:30:00</v>
      </c>
      <c r="G24" s="3">
        <f t="shared" si="1"/>
        <v>37225</v>
      </c>
    </row>
    <row r="25" spans="1:7">
      <c r="A25" s="1">
        <v>38707</v>
      </c>
      <c r="B25">
        <v>4.3</v>
      </c>
      <c r="C25">
        <v>4.0999999999999996</v>
      </c>
      <c r="D25" t="str">
        <f t="shared" si="0"/>
        <v>2005/12/21 14:30:00</v>
      </c>
      <c r="F25" t="str">
        <v>2001/12/21 14:30:00</v>
      </c>
      <c r="G25" s="3">
        <f t="shared" si="1"/>
        <v>37246</v>
      </c>
    </row>
    <row r="26" spans="1:7">
      <c r="A26" s="1">
        <v>38806</v>
      </c>
      <c r="B26">
        <v>1.7</v>
      </c>
      <c r="C26">
        <v>1.7</v>
      </c>
      <c r="D26" t="str">
        <f t="shared" si="0"/>
        <v>2006/03/30 15:30:00</v>
      </c>
      <c r="F26" t="str">
        <v>2002/01/30 14:30:00</v>
      </c>
      <c r="G26" s="3">
        <f t="shared" si="1"/>
        <v>37286</v>
      </c>
    </row>
    <row r="27" spans="1:7">
      <c r="A27" s="1">
        <v>38897</v>
      </c>
      <c r="B27">
        <v>5.6</v>
      </c>
      <c r="C27">
        <v>5.6</v>
      </c>
      <c r="D27" t="str">
        <f t="shared" si="0"/>
        <v>2006/06/29 14:30:00</v>
      </c>
      <c r="F27" t="str">
        <v>2002/02/28 14:30:00</v>
      </c>
      <c r="G27" s="3">
        <f t="shared" si="1"/>
        <v>37315</v>
      </c>
    </row>
    <row r="28" spans="1:7">
      <c r="A28" s="1">
        <v>38988</v>
      </c>
      <c r="B28">
        <v>2.9</v>
      </c>
      <c r="C28">
        <v>2.6</v>
      </c>
      <c r="D28" t="str">
        <f t="shared" si="0"/>
        <v>2006/09/28 14:30:00</v>
      </c>
      <c r="F28" t="str">
        <v>2002/03/28 14:30:00</v>
      </c>
      <c r="G28" s="3">
        <f t="shared" si="1"/>
        <v>37343</v>
      </c>
    </row>
    <row r="29" spans="1:7">
      <c r="A29" s="1">
        <v>39072</v>
      </c>
      <c r="B29">
        <v>2.2000000000000002</v>
      </c>
      <c r="C29">
        <v>2</v>
      </c>
      <c r="D29" t="str">
        <f t="shared" si="0"/>
        <v>2006/12/21 14:30:00</v>
      </c>
      <c r="F29" t="str">
        <v>2002/04/26 14:30:00</v>
      </c>
      <c r="G29" s="3">
        <f t="shared" si="1"/>
        <v>37372</v>
      </c>
    </row>
    <row r="30" spans="1:7">
      <c r="A30" s="1">
        <v>39170</v>
      </c>
      <c r="B30">
        <v>2.2000000000000002</v>
      </c>
      <c r="C30">
        <v>2.5</v>
      </c>
      <c r="D30" t="str">
        <f t="shared" si="0"/>
        <v>2007/03/29 14:30:00</v>
      </c>
      <c r="F30" t="str">
        <v>2002/05/24 14:30:00</v>
      </c>
      <c r="G30" s="3">
        <f t="shared" si="1"/>
        <v>37400</v>
      </c>
    </row>
    <row r="31" spans="1:7">
      <c r="A31" s="1">
        <v>39261</v>
      </c>
      <c r="B31">
        <v>0.8</v>
      </c>
      <c r="C31">
        <v>0.7</v>
      </c>
      <c r="D31" t="str">
        <f t="shared" si="0"/>
        <v>2007/06/28 14:30:00</v>
      </c>
      <c r="F31" t="str">
        <v>2002/06/27 14:30:00</v>
      </c>
      <c r="G31" s="3">
        <f t="shared" si="1"/>
        <v>37434</v>
      </c>
    </row>
    <row r="32" spans="1:7">
      <c r="A32" s="1">
        <v>39352</v>
      </c>
      <c r="B32">
        <v>3.8</v>
      </c>
      <c r="C32">
        <v>3.8</v>
      </c>
      <c r="D32" t="str">
        <f t="shared" si="0"/>
        <v>2007/09/27 14:30:00</v>
      </c>
      <c r="F32" t="str">
        <v>2002/07/31 14:30:00</v>
      </c>
      <c r="G32" s="3">
        <f t="shared" si="1"/>
        <v>37468</v>
      </c>
    </row>
    <row r="33" spans="1:7">
      <c r="A33" s="1">
        <v>39436</v>
      </c>
      <c r="B33">
        <v>4.9000000000000004</v>
      </c>
      <c r="C33">
        <v>4.9000000000000004</v>
      </c>
      <c r="D33" t="str">
        <f t="shared" si="0"/>
        <v>2007/12/20 14:30:00</v>
      </c>
      <c r="F33" t="str">
        <v>2002/08/29 14:30:00</v>
      </c>
      <c r="G33" s="3">
        <f t="shared" si="1"/>
        <v>37497</v>
      </c>
    </row>
    <row r="34" spans="1:7">
      <c r="A34" s="1">
        <v>39534</v>
      </c>
      <c r="B34">
        <v>0.6</v>
      </c>
      <c r="C34">
        <v>0.6</v>
      </c>
      <c r="D34" t="str">
        <f t="shared" ref="D34:D65" si="2">_xlfn.XLOOKUP(A34,$G:$G,$F:$F,"")</f>
        <v>2008/03/27 13:30:00</v>
      </c>
      <c r="F34" t="str">
        <v>2002/09/27 14:30:00</v>
      </c>
      <c r="G34" s="3">
        <f t="shared" si="1"/>
        <v>37526</v>
      </c>
    </row>
    <row r="35" spans="1:7">
      <c r="A35" s="1">
        <v>39625</v>
      </c>
      <c r="B35">
        <v>1</v>
      </c>
      <c r="C35">
        <v>1</v>
      </c>
      <c r="D35" t="str">
        <f t="shared" si="2"/>
        <v>2008/06/26 14:30:00</v>
      </c>
      <c r="F35" t="str">
        <v>2002/10/31 14:30:00</v>
      </c>
      <c r="G35" s="3">
        <f t="shared" si="1"/>
        <v>37560</v>
      </c>
    </row>
    <row r="36" spans="1:7">
      <c r="A36" s="1">
        <v>39717</v>
      </c>
      <c r="B36">
        <v>3.3</v>
      </c>
      <c r="C36">
        <v>2.8</v>
      </c>
      <c r="D36" t="str">
        <f t="shared" si="2"/>
        <v>2008/09/26 14:30:00</v>
      </c>
      <c r="F36" t="str">
        <v>2002/11/26 14:30:00</v>
      </c>
      <c r="G36" s="3">
        <f t="shared" si="1"/>
        <v>37586</v>
      </c>
    </row>
    <row r="37" spans="1:7">
      <c r="A37" s="1">
        <v>39805</v>
      </c>
      <c r="B37">
        <v>-0.5</v>
      </c>
      <c r="C37">
        <v>-0.5</v>
      </c>
      <c r="D37" t="str">
        <f t="shared" si="2"/>
        <v>2008/12/23 14:30:00</v>
      </c>
      <c r="F37" t="str">
        <v>2002/12/20 14:30:00</v>
      </c>
      <c r="G37" s="3">
        <f t="shared" si="1"/>
        <v>37610</v>
      </c>
    </row>
    <row r="38" spans="1:7">
      <c r="A38" s="1">
        <v>39898</v>
      </c>
      <c r="B38">
        <v>-6.6</v>
      </c>
      <c r="C38">
        <v>-6.3</v>
      </c>
      <c r="D38" t="str">
        <f t="shared" si="2"/>
        <v>2009/03/26 13:30:00</v>
      </c>
      <c r="F38" t="str">
        <v>2003/01/30 14:30:00</v>
      </c>
      <c r="G38" s="3">
        <f t="shared" si="1"/>
        <v>37651</v>
      </c>
    </row>
    <row r="39" spans="1:7">
      <c r="A39" s="1">
        <v>39989</v>
      </c>
      <c r="B39">
        <v>-5.7</v>
      </c>
      <c r="C39">
        <v>-5.5</v>
      </c>
      <c r="D39" t="str">
        <f t="shared" si="2"/>
        <v>2009/06/25 14:30:00</v>
      </c>
      <c r="F39" t="str">
        <v>2003/02/28 14:30:00</v>
      </c>
      <c r="G39" s="3">
        <f t="shared" si="1"/>
        <v>37680</v>
      </c>
    </row>
    <row r="40" spans="1:7">
      <c r="A40" s="1">
        <v>40086</v>
      </c>
      <c r="B40">
        <v>-1.2</v>
      </c>
      <c r="C40">
        <v>-0.7</v>
      </c>
      <c r="D40" t="str">
        <f t="shared" si="2"/>
        <v>2009/09/30 14:30:00</v>
      </c>
      <c r="F40" t="str">
        <v>2003/03/27 14:30:00</v>
      </c>
      <c r="G40" s="3">
        <f t="shared" si="1"/>
        <v>37707</v>
      </c>
    </row>
    <row r="41" spans="1:7">
      <c r="A41" s="1">
        <v>40169</v>
      </c>
      <c r="B41">
        <v>2.8</v>
      </c>
      <c r="C41">
        <v>2.2000000000000002</v>
      </c>
      <c r="D41" t="str">
        <f t="shared" si="2"/>
        <v>2009/12/22 14:30:00</v>
      </c>
      <c r="F41" t="str">
        <v>2003/04/25 14:30:00</v>
      </c>
      <c r="G41" s="3">
        <f t="shared" si="1"/>
        <v>37736</v>
      </c>
    </row>
    <row r="42" spans="1:7">
      <c r="A42" s="1">
        <v>40263</v>
      </c>
      <c r="B42">
        <v>5.9</v>
      </c>
      <c r="C42">
        <v>5.6</v>
      </c>
      <c r="D42" t="str">
        <f t="shared" si="2"/>
        <v>2010/03/26 13:30:00</v>
      </c>
      <c r="F42" t="str">
        <v>2003/05/29 14:30:00</v>
      </c>
      <c r="G42" s="3">
        <f t="shared" si="1"/>
        <v>37770</v>
      </c>
    </row>
    <row r="43" spans="1:7">
      <c r="A43" s="1">
        <v>40354</v>
      </c>
      <c r="B43">
        <v>3</v>
      </c>
      <c r="C43">
        <v>2.7</v>
      </c>
      <c r="D43" t="str">
        <f t="shared" si="2"/>
        <v>2010/06/25 14:30:00</v>
      </c>
      <c r="F43" t="str">
        <v>2003/06/26 14:30:00</v>
      </c>
      <c r="G43" s="3">
        <f t="shared" si="1"/>
        <v>37798</v>
      </c>
    </row>
    <row r="44" spans="1:7">
      <c r="A44" s="1">
        <v>40451</v>
      </c>
      <c r="B44">
        <v>1.6</v>
      </c>
      <c r="C44">
        <v>1.7</v>
      </c>
      <c r="D44" t="str">
        <f t="shared" si="2"/>
        <v>2010/09/30 14:30:00</v>
      </c>
      <c r="F44" t="str">
        <v>2003/07/31 14:30:00</v>
      </c>
      <c r="G44" s="3">
        <f t="shared" si="1"/>
        <v>37833</v>
      </c>
    </row>
    <row r="45" spans="1:7">
      <c r="A45" s="1">
        <v>40534</v>
      </c>
      <c r="B45">
        <v>2.8</v>
      </c>
      <c r="C45">
        <v>2.6</v>
      </c>
      <c r="D45" t="str">
        <f t="shared" si="2"/>
        <v>2010/12/22 14:30:00</v>
      </c>
      <c r="F45" t="str">
        <v>2003/08/28 14:30:00</v>
      </c>
      <c r="G45" s="3">
        <f t="shared" si="1"/>
        <v>37861</v>
      </c>
    </row>
    <row r="46" spans="1:7">
      <c r="A46" s="1">
        <v>40627</v>
      </c>
      <c r="B46">
        <v>3</v>
      </c>
      <c r="C46">
        <v>3.1</v>
      </c>
      <c r="D46" t="str">
        <f t="shared" si="2"/>
        <v>2011/03/25 13:30:00</v>
      </c>
      <c r="F46" t="str">
        <v>2003/09/26 14:30:00</v>
      </c>
      <c r="G46" s="3">
        <f t="shared" si="1"/>
        <v>37890</v>
      </c>
    </row>
    <row r="47" spans="1:7">
      <c r="A47" s="1">
        <v>40718</v>
      </c>
      <c r="B47">
        <v>1.9</v>
      </c>
      <c r="C47">
        <v>1.9</v>
      </c>
      <c r="D47" t="str">
        <f t="shared" si="2"/>
        <v>2011/06/24 14:30:00</v>
      </c>
      <c r="F47" t="str">
        <v>2003/10/30 14:30:00</v>
      </c>
      <c r="G47" s="3">
        <f t="shared" si="1"/>
        <v>37924</v>
      </c>
    </row>
    <row r="48" spans="1:7">
      <c r="A48" s="1">
        <v>40815</v>
      </c>
      <c r="B48">
        <v>1.2</v>
      </c>
      <c r="C48">
        <v>1.3</v>
      </c>
      <c r="D48" t="str">
        <f t="shared" si="2"/>
        <v>2011/09/29 14:30:00</v>
      </c>
      <c r="F48" t="str">
        <v>2003/11/25 14:30:00</v>
      </c>
      <c r="G48" s="3">
        <f t="shared" si="1"/>
        <v>37950</v>
      </c>
    </row>
    <row r="49" spans="1:7">
      <c r="A49" s="1">
        <v>40899</v>
      </c>
      <c r="B49">
        <v>2</v>
      </c>
      <c r="C49">
        <v>1.8</v>
      </c>
      <c r="D49" t="str">
        <f t="shared" si="2"/>
        <v>2011/12/22 14:30:00</v>
      </c>
      <c r="F49" t="str">
        <v>2003/12/23 14:30:00</v>
      </c>
      <c r="G49" s="3">
        <f t="shared" si="1"/>
        <v>37978</v>
      </c>
    </row>
    <row r="50" spans="1:7">
      <c r="A50" s="1">
        <v>40997</v>
      </c>
      <c r="B50">
        <v>3</v>
      </c>
      <c r="C50">
        <v>3</v>
      </c>
      <c r="D50" t="str">
        <f t="shared" si="2"/>
        <v>2012/03/29 14:30:00</v>
      </c>
      <c r="F50" t="str">
        <v>2004/01/30 14:30:00</v>
      </c>
      <c r="G50" s="3">
        <f t="shared" si="1"/>
        <v>38016</v>
      </c>
    </row>
    <row r="51" spans="1:7">
      <c r="A51" s="1">
        <v>41088</v>
      </c>
      <c r="B51">
        <v>1.9</v>
      </c>
      <c r="C51">
        <v>1.9</v>
      </c>
      <c r="D51" t="str">
        <f t="shared" si="2"/>
        <v>2012/06/28 14:30:00</v>
      </c>
      <c r="F51" t="str">
        <v>2004/02/27 14:30:00</v>
      </c>
      <c r="G51" s="3">
        <f t="shared" si="1"/>
        <v>38044</v>
      </c>
    </row>
    <row r="52" spans="1:7">
      <c r="A52" s="1">
        <v>41179</v>
      </c>
      <c r="B52">
        <v>1.7</v>
      </c>
      <c r="C52">
        <v>1.3</v>
      </c>
      <c r="D52" t="str">
        <f t="shared" si="2"/>
        <v>2012/09/27 14:30:00</v>
      </c>
      <c r="F52" t="str">
        <v>2004/03/25 14:30:00</v>
      </c>
      <c r="G52" s="3">
        <f t="shared" si="1"/>
        <v>38071</v>
      </c>
    </row>
    <row r="53" spans="1:7">
      <c r="A53" s="1">
        <v>41263</v>
      </c>
      <c r="B53">
        <v>2.8</v>
      </c>
      <c r="C53">
        <v>3.1</v>
      </c>
      <c r="D53" t="str">
        <f t="shared" si="2"/>
        <v>2012/12/20 14:30:00</v>
      </c>
      <c r="F53" t="str">
        <v>2004/04/29 14:30:00</v>
      </c>
      <c r="G53" s="3">
        <f t="shared" si="1"/>
        <v>38106</v>
      </c>
    </row>
    <row r="54" spans="1:7">
      <c r="A54" s="1">
        <v>41361</v>
      </c>
      <c r="B54">
        <v>0.5</v>
      </c>
      <c r="C54">
        <v>0.4</v>
      </c>
      <c r="D54" t="str">
        <f t="shared" si="2"/>
        <v>2013/03/28 13:30:00</v>
      </c>
      <c r="F54" t="str">
        <v>2004/05/27 14:30:00</v>
      </c>
      <c r="G54" s="3">
        <f t="shared" si="1"/>
        <v>38134</v>
      </c>
    </row>
    <row r="55" spans="1:7">
      <c r="A55" s="1">
        <v>41451</v>
      </c>
      <c r="B55">
        <v>2.4</v>
      </c>
      <c r="C55">
        <v>1.8</v>
      </c>
      <c r="D55" t="str">
        <f t="shared" si="2"/>
        <v>2013/06/26 14:30:00</v>
      </c>
      <c r="F55" t="str">
        <v>2004/06/25 14:30:00</v>
      </c>
      <c r="G55" s="3">
        <f t="shared" si="1"/>
        <v>38163</v>
      </c>
    </row>
    <row r="56" spans="1:7">
      <c r="A56" s="1">
        <v>41543</v>
      </c>
      <c r="B56">
        <v>2.6</v>
      </c>
      <c r="C56">
        <v>2.5</v>
      </c>
      <c r="D56" t="str">
        <f t="shared" si="2"/>
        <v>2013/09/26 14:30:00</v>
      </c>
      <c r="F56" t="str">
        <v>2004/07/30 14:30:00</v>
      </c>
      <c r="G56" s="3">
        <f t="shared" si="1"/>
        <v>38198</v>
      </c>
    </row>
    <row r="57" spans="1:7">
      <c r="A57" s="1">
        <v>41628</v>
      </c>
      <c r="B57">
        <v>3.6</v>
      </c>
      <c r="C57">
        <v>4.0999999999999996</v>
      </c>
      <c r="D57" t="str">
        <f t="shared" si="2"/>
        <v>2013/12/20 14:30:00</v>
      </c>
      <c r="F57" t="str">
        <v>2004/08/27 14:30:00</v>
      </c>
      <c r="G57" s="3">
        <f t="shared" si="1"/>
        <v>38226</v>
      </c>
    </row>
    <row r="58" spans="1:7">
      <c r="A58" s="1">
        <v>41725</v>
      </c>
      <c r="B58">
        <v>2.7</v>
      </c>
      <c r="C58">
        <v>2.6</v>
      </c>
      <c r="D58" t="str">
        <f t="shared" si="2"/>
        <v>2014/03/27 13:30:00</v>
      </c>
      <c r="F58" t="str">
        <v>2004/09/29 14:30:00</v>
      </c>
      <c r="G58" s="3">
        <f t="shared" si="1"/>
        <v>38259</v>
      </c>
    </row>
    <row r="59" spans="1:7">
      <c r="A59" s="1">
        <v>41815</v>
      </c>
      <c r="B59">
        <v>-1.8</v>
      </c>
      <c r="C59">
        <v>-2.9</v>
      </c>
      <c r="D59" t="str">
        <f t="shared" si="2"/>
        <v>2014/06/25 14:30:00</v>
      </c>
      <c r="F59" t="str">
        <v>2004/10/29 14:30:00</v>
      </c>
      <c r="G59" s="3">
        <f t="shared" si="1"/>
        <v>38289</v>
      </c>
    </row>
    <row r="60" spans="1:7">
      <c r="A60" s="1">
        <v>41908</v>
      </c>
      <c r="B60">
        <v>4.5999999999999996</v>
      </c>
      <c r="C60">
        <v>4.5999999999999996</v>
      </c>
      <c r="D60" t="str">
        <f t="shared" si="2"/>
        <v>2014/09/26 14:30:00</v>
      </c>
      <c r="F60" t="str">
        <v>2004/11/30 14:30:00</v>
      </c>
      <c r="G60" s="3">
        <f t="shared" si="1"/>
        <v>38321</v>
      </c>
    </row>
    <row r="61" spans="1:7">
      <c r="A61" s="1">
        <v>41996</v>
      </c>
      <c r="B61">
        <v>4.3</v>
      </c>
      <c r="C61">
        <v>5</v>
      </c>
      <c r="D61" t="str">
        <f t="shared" si="2"/>
        <v>2014/12/23 14:30:00</v>
      </c>
      <c r="F61" t="str">
        <v>2004/12/22 14:30:00</v>
      </c>
      <c r="G61" s="3">
        <f t="shared" si="1"/>
        <v>38343</v>
      </c>
    </row>
    <row r="62" spans="1:7">
      <c r="A62" s="1">
        <v>42090</v>
      </c>
      <c r="B62">
        <v>2.4</v>
      </c>
      <c r="C62">
        <v>2.2000000000000002</v>
      </c>
      <c r="D62" t="str">
        <f t="shared" si="2"/>
        <v>2015/03/27 13:30:00</v>
      </c>
      <c r="F62" t="str">
        <v>2005/01/28 14:30:00</v>
      </c>
      <c r="G62" s="3">
        <f t="shared" si="1"/>
        <v>38380</v>
      </c>
    </row>
    <row r="63" spans="1:7">
      <c r="A63" s="1">
        <v>42179</v>
      </c>
      <c r="B63">
        <v>-0.2</v>
      </c>
      <c r="C63">
        <v>-0.2</v>
      </c>
      <c r="D63" t="str">
        <f t="shared" si="2"/>
        <v>2015/06/24 14:30:00</v>
      </c>
      <c r="F63" t="str">
        <v>2005/02/25 14:30:00</v>
      </c>
      <c r="G63" s="3">
        <f t="shared" si="1"/>
        <v>38408</v>
      </c>
    </row>
    <row r="64" spans="1:7">
      <c r="A64" s="1">
        <v>42272</v>
      </c>
      <c r="B64">
        <v>3.7</v>
      </c>
      <c r="C64">
        <v>3.9</v>
      </c>
      <c r="D64" t="str">
        <f t="shared" si="2"/>
        <v>2015/09/25 14:30:00</v>
      </c>
      <c r="F64" t="str">
        <v>2005/03/30 15:30:00</v>
      </c>
      <c r="G64" s="3">
        <f t="shared" si="1"/>
        <v>38441</v>
      </c>
    </row>
    <row r="65" spans="1:7">
      <c r="A65" s="1">
        <v>42360</v>
      </c>
      <c r="B65">
        <v>1.9</v>
      </c>
      <c r="C65">
        <v>2</v>
      </c>
      <c r="D65" t="str">
        <f t="shared" si="2"/>
        <v>2015/12/22 14:30:00</v>
      </c>
      <c r="F65" t="str">
        <v>2005/04/28 14:30:00</v>
      </c>
      <c r="G65" s="3">
        <f t="shared" si="1"/>
        <v>38470</v>
      </c>
    </row>
    <row r="66" spans="1:7">
      <c r="A66" s="1">
        <v>42454</v>
      </c>
      <c r="B66">
        <v>1</v>
      </c>
      <c r="C66">
        <v>1.4</v>
      </c>
      <c r="D66" t="str">
        <f t="shared" ref="D66:D97" si="3">_xlfn.XLOOKUP(A66,$G:$G,$F:$F,"")</f>
        <v>2016/03/25 13:30:00</v>
      </c>
      <c r="F66" t="str">
        <v>2005/05/26 14:30:00</v>
      </c>
      <c r="G66" s="3">
        <f t="shared" si="1"/>
        <v>38498</v>
      </c>
    </row>
    <row r="67" spans="1:7">
      <c r="A67" s="1">
        <v>42549</v>
      </c>
      <c r="B67">
        <v>1</v>
      </c>
      <c r="C67">
        <v>1.1000000000000001</v>
      </c>
      <c r="D67" t="str">
        <f t="shared" si="3"/>
        <v>2016/06/28 14:30:00</v>
      </c>
      <c r="F67" t="str">
        <v>2005/06/29 14:30:00</v>
      </c>
      <c r="G67" s="3">
        <f t="shared" ref="G67:G130" si="4">INT(F67)</f>
        <v>38532</v>
      </c>
    </row>
    <row r="68" spans="1:7">
      <c r="A68" s="1">
        <v>42642</v>
      </c>
      <c r="B68">
        <v>1.3</v>
      </c>
      <c r="C68">
        <v>1.4</v>
      </c>
      <c r="D68" t="str">
        <f t="shared" si="3"/>
        <v>2016/09/29 14:30:00</v>
      </c>
      <c r="F68" t="str">
        <v>2005/07/29 14:30:00</v>
      </c>
      <c r="G68" s="3">
        <f t="shared" si="4"/>
        <v>38562</v>
      </c>
    </row>
    <row r="69" spans="1:7">
      <c r="A69" s="1">
        <v>42726</v>
      </c>
      <c r="B69">
        <v>3.3</v>
      </c>
      <c r="C69">
        <v>3.5</v>
      </c>
      <c r="D69" t="str">
        <f t="shared" si="3"/>
        <v>2016/12/22 14:30:00</v>
      </c>
      <c r="F69" t="str">
        <v>2005/08/31 14:30:00</v>
      </c>
      <c r="G69" s="3">
        <f t="shared" si="4"/>
        <v>38595</v>
      </c>
    </row>
    <row r="70" spans="1:7">
      <c r="A70" s="1">
        <v>42824</v>
      </c>
      <c r="B70">
        <v>2</v>
      </c>
      <c r="C70">
        <v>2.1</v>
      </c>
      <c r="D70" t="str">
        <f t="shared" si="3"/>
        <v>2017/03/30 14:30:00</v>
      </c>
      <c r="F70" t="str">
        <v>2005/09/29 14:30:00</v>
      </c>
      <c r="G70" s="3">
        <f t="shared" si="4"/>
        <v>38624</v>
      </c>
    </row>
    <row r="71" spans="1:7">
      <c r="A71" s="1">
        <v>42915</v>
      </c>
      <c r="B71">
        <v>1.2</v>
      </c>
      <c r="C71">
        <v>1.4</v>
      </c>
      <c r="D71" t="str">
        <f t="shared" si="3"/>
        <v>2017/06/29 14:30:00</v>
      </c>
      <c r="F71" t="str">
        <v>2005/10/28 14:30:00</v>
      </c>
      <c r="G71" s="3">
        <f t="shared" si="4"/>
        <v>38653</v>
      </c>
    </row>
    <row r="72" spans="1:7">
      <c r="A72" s="1">
        <v>43006</v>
      </c>
      <c r="B72">
        <v>3</v>
      </c>
      <c r="C72">
        <v>3.1</v>
      </c>
      <c r="D72" t="str">
        <f t="shared" si="3"/>
        <v>2017/09/28 14:30:00</v>
      </c>
      <c r="F72" t="str">
        <v>2005/11/30 14:30:00</v>
      </c>
      <c r="G72" s="3">
        <f t="shared" si="4"/>
        <v>38686</v>
      </c>
    </row>
    <row r="73" spans="1:7">
      <c r="A73" s="1">
        <v>43090</v>
      </c>
      <c r="B73">
        <v>3.3</v>
      </c>
      <c r="C73">
        <v>3.2</v>
      </c>
      <c r="D73" t="str">
        <f t="shared" si="3"/>
        <v>2017/12/21 14:30:00</v>
      </c>
      <c r="F73" t="str">
        <v>2005/12/21 14:30:00</v>
      </c>
      <c r="G73" s="3">
        <f t="shared" si="4"/>
        <v>38707</v>
      </c>
    </row>
    <row r="74" spans="1:7">
      <c r="A74" s="1">
        <v>43187</v>
      </c>
      <c r="B74">
        <v>2.7</v>
      </c>
      <c r="C74">
        <v>2.9</v>
      </c>
      <c r="D74" t="str">
        <f t="shared" si="3"/>
        <v>2018/03/28 14:30:00</v>
      </c>
      <c r="F74" t="str">
        <v>2006/01/27 14:30:00</v>
      </c>
      <c r="G74" s="3">
        <f t="shared" si="4"/>
        <v>38744</v>
      </c>
    </row>
    <row r="75" spans="1:7">
      <c r="A75" s="1">
        <v>43279</v>
      </c>
      <c r="B75">
        <v>2.2000000000000002</v>
      </c>
      <c r="C75">
        <v>2</v>
      </c>
      <c r="D75" t="str">
        <f t="shared" si="3"/>
        <v>2018/06/28 14:30:00</v>
      </c>
      <c r="F75" t="str">
        <v>2006/02/28 14:30:00</v>
      </c>
      <c r="G75" s="3">
        <f t="shared" si="4"/>
        <v>38776</v>
      </c>
    </row>
    <row r="76" spans="1:7">
      <c r="A76" s="1">
        <v>43370</v>
      </c>
      <c r="B76">
        <v>4.2</v>
      </c>
      <c r="C76">
        <v>4.2</v>
      </c>
      <c r="D76" t="str">
        <f t="shared" si="3"/>
        <v>2018/09/27 14:30:00</v>
      </c>
      <c r="F76" t="str">
        <v>2006/03/30 15:30:00</v>
      </c>
      <c r="G76" s="3">
        <f t="shared" si="4"/>
        <v>38806</v>
      </c>
    </row>
    <row r="77" spans="1:7">
      <c r="A77" s="1">
        <v>43455</v>
      </c>
      <c r="B77">
        <v>3.5</v>
      </c>
      <c r="C77">
        <v>3.4</v>
      </c>
      <c r="D77" t="str">
        <f t="shared" si="3"/>
        <v>2018/12/21 14:30:00</v>
      </c>
      <c r="F77" t="str">
        <v>2006/04/28 14:30:00</v>
      </c>
      <c r="G77" s="3">
        <f t="shared" si="4"/>
        <v>38835</v>
      </c>
    </row>
    <row r="78" spans="1:7">
      <c r="A78" s="1">
        <v>43552</v>
      </c>
      <c r="B78">
        <v>2.2999999999999998</v>
      </c>
      <c r="C78">
        <v>2.2000000000000002</v>
      </c>
      <c r="D78" t="str">
        <f t="shared" si="3"/>
        <v>2019/03/28 13:30:00</v>
      </c>
      <c r="F78" t="str">
        <v>2006/05/25 14:30:00</v>
      </c>
      <c r="G78" s="3">
        <f t="shared" si="4"/>
        <v>38862</v>
      </c>
    </row>
    <row r="79" spans="1:7">
      <c r="A79" s="1">
        <v>43643</v>
      </c>
      <c r="B79">
        <v>3.2</v>
      </c>
      <c r="C79">
        <v>3.1</v>
      </c>
      <c r="D79" t="str">
        <f t="shared" si="3"/>
        <v>2019/06/27 14:30:00</v>
      </c>
      <c r="F79" t="str">
        <v>2006/06/29 14:30:00</v>
      </c>
      <c r="G79" s="3">
        <f t="shared" si="4"/>
        <v>38897</v>
      </c>
    </row>
    <row r="80" spans="1:7">
      <c r="A80" s="1">
        <v>43734</v>
      </c>
      <c r="B80">
        <v>2</v>
      </c>
      <c r="C80">
        <v>2</v>
      </c>
      <c r="D80" t="str">
        <f t="shared" si="3"/>
        <v>2019/09/26 14:30:00</v>
      </c>
      <c r="F80" t="str">
        <v>2006/07/28 14:30:00</v>
      </c>
      <c r="G80" s="3">
        <f t="shared" si="4"/>
        <v>38926</v>
      </c>
    </row>
    <row r="81" spans="1:7">
      <c r="A81" s="1">
        <v>43819</v>
      </c>
      <c r="B81">
        <v>2.1</v>
      </c>
      <c r="C81">
        <v>2.1</v>
      </c>
      <c r="D81" t="str">
        <f t="shared" si="3"/>
        <v>2019/12/20 14:30:00</v>
      </c>
      <c r="F81" t="str">
        <v>2006/08/30 14:30:00</v>
      </c>
      <c r="G81" s="3">
        <f t="shared" si="4"/>
        <v>38959</v>
      </c>
    </row>
    <row r="82" spans="1:7">
      <c r="A82" s="1">
        <v>43916</v>
      </c>
      <c r="B82">
        <v>2.1</v>
      </c>
      <c r="C82">
        <v>2.1</v>
      </c>
      <c r="D82" t="str">
        <f t="shared" si="3"/>
        <v>2020/03/26 13:30:00</v>
      </c>
      <c r="F82" t="str">
        <v>2006/09/28 14:30:00</v>
      </c>
      <c r="G82" s="3">
        <f t="shared" si="4"/>
        <v>38988</v>
      </c>
    </row>
    <row r="83" spans="1:7">
      <c r="A83" s="1">
        <v>44007</v>
      </c>
      <c r="B83">
        <v>-5</v>
      </c>
      <c r="C83">
        <v>-5</v>
      </c>
      <c r="D83" t="str">
        <f t="shared" si="3"/>
        <v>2020/06/25 14:30:00</v>
      </c>
      <c r="F83" t="str">
        <v>2006/10/27 14:30:00</v>
      </c>
      <c r="G83" s="3">
        <f t="shared" si="4"/>
        <v>39017</v>
      </c>
    </row>
    <row r="84" spans="1:7">
      <c r="A84" s="1">
        <v>44104</v>
      </c>
      <c r="B84">
        <v>-31.7</v>
      </c>
      <c r="C84">
        <v>-31.4</v>
      </c>
      <c r="D84" t="str">
        <f t="shared" si="3"/>
        <v>2020/09/30 14:30:00</v>
      </c>
      <c r="F84" t="str">
        <v>2006/11/29 14:30:00</v>
      </c>
      <c r="G84" s="3">
        <f t="shared" si="4"/>
        <v>39050</v>
      </c>
    </row>
    <row r="85" spans="1:7">
      <c r="A85" s="1">
        <v>44187</v>
      </c>
      <c r="B85">
        <v>33.1</v>
      </c>
      <c r="C85">
        <v>33.4</v>
      </c>
      <c r="D85" t="str">
        <f t="shared" si="3"/>
        <v>2020/12/22 14:30:00</v>
      </c>
      <c r="F85" t="str">
        <v>2006/12/21 14:30:00</v>
      </c>
      <c r="G85" s="3">
        <f t="shared" si="4"/>
        <v>39072</v>
      </c>
    </row>
    <row r="86" spans="1:7">
      <c r="A86" s="1">
        <v>44280</v>
      </c>
      <c r="B86">
        <v>4.0999999999999996</v>
      </c>
      <c r="C86">
        <v>4.3</v>
      </c>
      <c r="D86" t="str">
        <f t="shared" si="3"/>
        <v>2021/03/25 13:30:00</v>
      </c>
      <c r="F86" t="str">
        <v>2007/01/31 14:30:00</v>
      </c>
      <c r="G86" s="3">
        <f t="shared" si="4"/>
        <v>39113</v>
      </c>
    </row>
    <row r="87" spans="1:7">
      <c r="A87" s="1">
        <v>44371</v>
      </c>
      <c r="B87">
        <v>6.4</v>
      </c>
      <c r="C87">
        <v>6.4</v>
      </c>
      <c r="D87" t="str">
        <f t="shared" si="3"/>
        <v>2021/06/24 14:30:00</v>
      </c>
      <c r="F87" t="str">
        <v>2007/02/28 14:30:00</v>
      </c>
      <c r="G87" s="3">
        <f t="shared" si="4"/>
        <v>39141</v>
      </c>
    </row>
    <row r="88" spans="1:7">
      <c r="A88" s="1">
        <v>44469</v>
      </c>
      <c r="B88">
        <v>6.6</v>
      </c>
      <c r="C88">
        <v>6.7</v>
      </c>
      <c r="D88" t="str">
        <f t="shared" si="3"/>
        <v>2021/09/30 14:30:00</v>
      </c>
      <c r="F88" t="str">
        <v>2007/03/29 14:30:00</v>
      </c>
      <c r="G88" s="3">
        <f t="shared" si="4"/>
        <v>39170</v>
      </c>
    </row>
    <row r="89" spans="1:7">
      <c r="A89" s="1">
        <v>44552</v>
      </c>
      <c r="B89">
        <v>2.1</v>
      </c>
      <c r="C89">
        <v>2.2999999999999998</v>
      </c>
      <c r="D89" t="str">
        <f t="shared" si="3"/>
        <v>2021/12/22 14:30:00</v>
      </c>
      <c r="F89" t="str">
        <v>2007/04/27 14:30:00</v>
      </c>
      <c r="G89" s="3">
        <f t="shared" si="4"/>
        <v>39199</v>
      </c>
    </row>
    <row r="90" spans="1:7">
      <c r="A90" s="1">
        <v>44650</v>
      </c>
      <c r="B90">
        <v>7</v>
      </c>
      <c r="C90">
        <v>6.9</v>
      </c>
      <c r="D90" t="str">
        <f t="shared" si="3"/>
        <v>2022/03/30 14:30:00</v>
      </c>
      <c r="F90" t="str">
        <v>2007/05/31 14:30:00</v>
      </c>
      <c r="G90" s="3">
        <f t="shared" si="4"/>
        <v>39233</v>
      </c>
    </row>
    <row r="91" spans="1:7">
      <c r="A91" s="1">
        <v>44741</v>
      </c>
      <c r="B91">
        <v>-1.5</v>
      </c>
      <c r="C91">
        <v>-1.6</v>
      </c>
      <c r="D91" t="str">
        <f t="shared" si="3"/>
        <v>2022/06/29 14:30:00</v>
      </c>
      <c r="F91" t="str">
        <v>2007/06/28 14:30:00</v>
      </c>
      <c r="G91" s="3">
        <f t="shared" si="4"/>
        <v>39261</v>
      </c>
    </row>
    <row r="92" spans="1:7">
      <c r="A92" s="1">
        <v>44833</v>
      </c>
      <c r="B92">
        <v>-0.6</v>
      </c>
      <c r="C92">
        <v>-0.6</v>
      </c>
      <c r="D92" t="str">
        <f t="shared" si="3"/>
        <v>2022/09/29 14:30:00</v>
      </c>
      <c r="F92" t="str">
        <v>2007/07/27 14:30:00</v>
      </c>
      <c r="G92" s="3">
        <f t="shared" si="4"/>
        <v>39290</v>
      </c>
    </row>
    <row r="93" spans="1:7">
      <c r="A93" s="1">
        <v>44917</v>
      </c>
      <c r="B93">
        <v>2.9</v>
      </c>
      <c r="C93">
        <v>3.2</v>
      </c>
      <c r="D93" t="str">
        <f t="shared" si="3"/>
        <v>2022/12/22 14:30:00</v>
      </c>
      <c r="F93" t="str">
        <v>2007/08/30 14:30:00</v>
      </c>
      <c r="G93" s="3">
        <f t="shared" si="4"/>
        <v>39324</v>
      </c>
    </row>
    <row r="94" spans="1:7">
      <c r="A94" s="1">
        <v>45015</v>
      </c>
      <c r="B94">
        <v>2.7</v>
      </c>
      <c r="C94">
        <v>2.6</v>
      </c>
      <c r="D94" t="str">
        <f t="shared" si="3"/>
        <v>2023/03/30 14:30:00</v>
      </c>
      <c r="F94" t="str">
        <v>2007/09/27 14:30:00</v>
      </c>
      <c r="G94" s="3">
        <f t="shared" si="4"/>
        <v>39352</v>
      </c>
    </row>
    <row r="95" spans="1:7">
      <c r="A95" s="1">
        <v>45106</v>
      </c>
      <c r="B95">
        <v>1.4</v>
      </c>
      <c r="C95">
        <v>2</v>
      </c>
      <c r="D95" t="str">
        <f t="shared" si="3"/>
        <v>2023/06/29 14:30:00</v>
      </c>
      <c r="F95" t="str">
        <v>2007/10/31 13:30:00</v>
      </c>
      <c r="G95" s="3">
        <f t="shared" si="4"/>
        <v>39386</v>
      </c>
    </row>
    <row r="96" spans="1:7">
      <c r="A96" s="1">
        <v>45197</v>
      </c>
      <c r="B96">
        <v>2.2000000000000002</v>
      </c>
      <c r="C96">
        <v>2.1</v>
      </c>
      <c r="D96" t="str">
        <f t="shared" si="3"/>
        <v>2023/09/28 14:30:00</v>
      </c>
      <c r="F96" t="str">
        <v>2007/11/29 14:30:00</v>
      </c>
      <c r="G96" s="3">
        <f t="shared" si="4"/>
        <v>39415</v>
      </c>
    </row>
    <row r="97" spans="1:7">
      <c r="A97" s="1">
        <v>45281</v>
      </c>
      <c r="B97">
        <v>5.2</v>
      </c>
      <c r="C97">
        <v>4.9000000000000004</v>
      </c>
      <c r="D97" t="str">
        <f t="shared" si="3"/>
        <v>2023/12/21 14:30:00</v>
      </c>
      <c r="F97" t="str">
        <v>2007/12/20 14:30:00</v>
      </c>
      <c r="G97" s="3">
        <f t="shared" si="4"/>
        <v>39436</v>
      </c>
    </row>
    <row r="98" spans="1:7">
      <c r="A98" s="1">
        <v>45379</v>
      </c>
      <c r="B98">
        <v>3.2</v>
      </c>
      <c r="C98">
        <v>3.4</v>
      </c>
      <c r="D98" t="str">
        <f t="shared" ref="D98:D105" si="5">_xlfn.XLOOKUP(A98,$G:$G,$F:$F,"")</f>
        <v>2024/03/28 13:30:00</v>
      </c>
      <c r="F98" t="str">
        <v>2008/01/30 14:30:00</v>
      </c>
      <c r="G98" s="3">
        <f t="shared" si="4"/>
        <v>39477</v>
      </c>
    </row>
    <row r="99" spans="1:7">
      <c r="A99" s="1">
        <v>45470</v>
      </c>
      <c r="B99">
        <v>1.4</v>
      </c>
      <c r="C99">
        <v>1.4</v>
      </c>
      <c r="D99" t="str">
        <f t="shared" si="5"/>
        <v>2024/06/27 14:30:00</v>
      </c>
      <c r="F99" t="str">
        <v>2008/02/28 14:30:00</v>
      </c>
      <c r="G99" s="3">
        <f t="shared" si="4"/>
        <v>39506</v>
      </c>
    </row>
    <row r="100" spans="1:7">
      <c r="A100" s="1">
        <v>45561</v>
      </c>
      <c r="B100">
        <v>2.9</v>
      </c>
      <c r="C100">
        <v>3</v>
      </c>
      <c r="D100" t="str">
        <f t="shared" si="5"/>
        <v>2024/09/26 14:30:00</v>
      </c>
      <c r="F100" t="str">
        <v>2008/03/27 13:30:00</v>
      </c>
      <c r="G100" s="3">
        <f t="shared" si="4"/>
        <v>39534</v>
      </c>
    </row>
    <row r="101" spans="1:7">
      <c r="A101" s="1">
        <v>45645</v>
      </c>
      <c r="B101">
        <v>2.8</v>
      </c>
      <c r="C101">
        <v>3.1</v>
      </c>
      <c r="D101" t="str">
        <f t="shared" si="5"/>
        <v>2024/12/19 14:30:00</v>
      </c>
      <c r="F101" t="str">
        <v>2008/04/30 14:30:00</v>
      </c>
      <c r="G101" s="3">
        <f t="shared" si="4"/>
        <v>39568</v>
      </c>
    </row>
    <row r="102" spans="1:7">
      <c r="A102" s="1">
        <v>45743</v>
      </c>
      <c r="B102">
        <v>2.2999999999999998</v>
      </c>
      <c r="C102">
        <v>2.4</v>
      </c>
      <c r="D102" t="str">
        <f t="shared" si="5"/>
        <v>2025/03/27 13:30:00</v>
      </c>
      <c r="F102" t="str">
        <v>2008/05/29 14:30:00</v>
      </c>
      <c r="G102" s="3">
        <f t="shared" si="4"/>
        <v>39597</v>
      </c>
    </row>
    <row r="103" spans="1:7">
      <c r="A103" s="1">
        <v>45834</v>
      </c>
      <c r="B103">
        <v>-0.2</v>
      </c>
      <c r="C103">
        <v>-0.5</v>
      </c>
      <c r="D103" t="str">
        <f t="shared" si="5"/>
        <v>2025/06/26 14:30:00</v>
      </c>
      <c r="F103" t="str">
        <v>2008/06/26 14:30:00</v>
      </c>
      <c r="G103" s="3">
        <f t="shared" si="4"/>
        <v>39625</v>
      </c>
    </row>
    <row r="104" spans="1:7">
      <c r="A104" s="1">
        <v>45925</v>
      </c>
      <c r="B104">
        <v>3.3</v>
      </c>
      <c r="C104">
        <v>3.8</v>
      </c>
      <c r="D104" t="str">
        <f t="shared" si="5"/>
        <v>2025/09/25 14:30:00</v>
      </c>
      <c r="F104" t="str">
        <v>2008/07/31 14:30:00</v>
      </c>
      <c r="G104" s="3">
        <f t="shared" si="4"/>
        <v>39660</v>
      </c>
    </row>
    <row r="105" spans="1:7">
      <c r="A105" s="1">
        <v>46044</v>
      </c>
      <c r="B105">
        <v>4.3</v>
      </c>
      <c r="C105">
        <v>4.4000000000000004</v>
      </c>
      <c r="D105" t="str">
        <f t="shared" si="5"/>
        <v>2026/01/22 14:30:00</v>
      </c>
      <c r="F105" t="str">
        <v>2008/08/28 14:30:00</v>
      </c>
      <c r="G105" s="3">
        <f t="shared" si="4"/>
        <v>39688</v>
      </c>
    </row>
    <row r="106" spans="1:7">
      <c r="A106" s="1"/>
      <c r="F106" t="str">
        <v>2008/09/26 14:30:00</v>
      </c>
      <c r="G106" s="3">
        <f t="shared" si="4"/>
        <v>39717</v>
      </c>
    </row>
    <row r="107" spans="1:7">
      <c r="F107" t="str">
        <v>2008/10/30 13:30:00</v>
      </c>
      <c r="G107" s="3">
        <f t="shared" si="4"/>
        <v>39751</v>
      </c>
    </row>
    <row r="108" spans="1:7">
      <c r="F108" t="str">
        <v>2008/11/25 14:30:00</v>
      </c>
      <c r="G108" s="3">
        <f t="shared" si="4"/>
        <v>39777</v>
      </c>
    </row>
    <row r="109" spans="1:7">
      <c r="F109" t="str">
        <v>2008/12/23 14:30:00</v>
      </c>
      <c r="G109" s="3">
        <f t="shared" si="4"/>
        <v>39805</v>
      </c>
    </row>
    <row r="110" spans="1:7">
      <c r="F110" t="str">
        <v>2009/01/30 14:30:00</v>
      </c>
      <c r="G110" s="3">
        <f t="shared" si="4"/>
        <v>39843</v>
      </c>
    </row>
    <row r="111" spans="1:7">
      <c r="F111" t="str">
        <v>2009/02/27 14:30:00</v>
      </c>
      <c r="G111" s="3">
        <f t="shared" si="4"/>
        <v>39871</v>
      </c>
    </row>
    <row r="112" spans="1:7">
      <c r="F112" t="str">
        <v>2009/03/26 13:30:00</v>
      </c>
      <c r="G112" s="3">
        <f t="shared" si="4"/>
        <v>39898</v>
      </c>
    </row>
    <row r="113" spans="6:7">
      <c r="F113" t="str">
        <v>2009/04/29 14:30:00</v>
      </c>
      <c r="G113" s="3">
        <f t="shared" si="4"/>
        <v>39932</v>
      </c>
    </row>
    <row r="114" spans="6:7">
      <c r="F114" t="str">
        <v>2009/05/29 14:30:00</v>
      </c>
      <c r="G114" s="3">
        <f t="shared" si="4"/>
        <v>39962</v>
      </c>
    </row>
    <row r="115" spans="6:7">
      <c r="F115" t="str">
        <v>2009/06/25 14:30:00</v>
      </c>
      <c r="G115" s="3">
        <f t="shared" si="4"/>
        <v>39989</v>
      </c>
    </row>
    <row r="116" spans="6:7">
      <c r="F116" t="str">
        <v>2009/07/31 14:30:00</v>
      </c>
      <c r="G116" s="3">
        <f t="shared" si="4"/>
        <v>40025</v>
      </c>
    </row>
    <row r="117" spans="6:7">
      <c r="F117" t="str">
        <v>2009/08/27 14:30:00</v>
      </c>
      <c r="G117" s="3">
        <f t="shared" si="4"/>
        <v>40052</v>
      </c>
    </row>
    <row r="118" spans="6:7">
      <c r="F118" t="str">
        <v>2009/09/30 14:30:00</v>
      </c>
      <c r="G118" s="3">
        <f t="shared" si="4"/>
        <v>40086</v>
      </c>
    </row>
    <row r="119" spans="6:7">
      <c r="F119" t="str">
        <v>2009/10/29 13:30:00</v>
      </c>
      <c r="G119" s="3">
        <f t="shared" si="4"/>
        <v>40115</v>
      </c>
    </row>
    <row r="120" spans="6:7">
      <c r="F120" t="str">
        <v>2009/11/24 14:30:00</v>
      </c>
      <c r="G120" s="3">
        <f t="shared" si="4"/>
        <v>40141</v>
      </c>
    </row>
    <row r="121" spans="6:7">
      <c r="F121" t="str">
        <v>2009/12/22 14:30:00</v>
      </c>
      <c r="G121" s="3">
        <f t="shared" si="4"/>
        <v>40169</v>
      </c>
    </row>
    <row r="122" spans="6:7">
      <c r="F122" t="str">
        <v>2010/01/29 14:30:00</v>
      </c>
      <c r="G122" s="3">
        <f t="shared" si="4"/>
        <v>40207</v>
      </c>
    </row>
    <row r="123" spans="6:7">
      <c r="F123" t="str">
        <v>2010/02/26 14:30:00</v>
      </c>
      <c r="G123" s="3">
        <f t="shared" si="4"/>
        <v>40235</v>
      </c>
    </row>
    <row r="124" spans="6:7">
      <c r="F124" t="str">
        <v>2010/03/26 13:30:00</v>
      </c>
      <c r="G124" s="3">
        <f t="shared" si="4"/>
        <v>40263</v>
      </c>
    </row>
    <row r="125" spans="6:7">
      <c r="F125" t="str">
        <v>2010/04/30 14:30:00</v>
      </c>
      <c r="G125" s="3">
        <f t="shared" si="4"/>
        <v>40298</v>
      </c>
    </row>
    <row r="126" spans="6:7">
      <c r="F126" t="str">
        <v>2010/05/27 14:30:00</v>
      </c>
      <c r="G126" s="3">
        <f t="shared" si="4"/>
        <v>40325</v>
      </c>
    </row>
    <row r="127" spans="6:7">
      <c r="F127" t="str">
        <v>2010/06/25 14:30:00</v>
      </c>
      <c r="G127" s="3">
        <f t="shared" si="4"/>
        <v>40354</v>
      </c>
    </row>
    <row r="128" spans="6:7">
      <c r="F128" t="str">
        <v>2010/07/30 14:30:00</v>
      </c>
      <c r="G128" s="3">
        <f t="shared" si="4"/>
        <v>40389</v>
      </c>
    </row>
    <row r="129" spans="6:7">
      <c r="F129" t="str">
        <v>2010/08/27 14:30:00</v>
      </c>
      <c r="G129" s="3">
        <f t="shared" si="4"/>
        <v>40417</v>
      </c>
    </row>
    <row r="130" spans="6:7">
      <c r="F130" t="str">
        <v>2010/09/30 14:30:00</v>
      </c>
      <c r="G130" s="3">
        <f t="shared" si="4"/>
        <v>40451</v>
      </c>
    </row>
    <row r="131" spans="6:7">
      <c r="F131" t="str">
        <v>2010/10/29 14:30:00</v>
      </c>
      <c r="G131" s="3">
        <f t="shared" ref="G131:G194" si="6">INT(F131)</f>
        <v>40480</v>
      </c>
    </row>
    <row r="132" spans="6:7">
      <c r="F132" t="str">
        <v>2010/11/23 14:30:00</v>
      </c>
      <c r="G132" s="3">
        <f t="shared" si="6"/>
        <v>40505</v>
      </c>
    </row>
    <row r="133" spans="6:7">
      <c r="F133" t="str">
        <v>2010/12/22 14:30:00</v>
      </c>
      <c r="G133" s="3">
        <f t="shared" si="6"/>
        <v>40534</v>
      </c>
    </row>
    <row r="134" spans="6:7">
      <c r="F134" t="str">
        <v>2011/01/28 14:30:00</v>
      </c>
      <c r="G134" s="3">
        <f t="shared" si="6"/>
        <v>40571</v>
      </c>
    </row>
    <row r="135" spans="6:7">
      <c r="F135" t="str">
        <v>2011/02/25 14:30:00</v>
      </c>
      <c r="G135" s="3">
        <f t="shared" si="6"/>
        <v>40599</v>
      </c>
    </row>
    <row r="136" spans="6:7">
      <c r="F136" t="str">
        <v>2011/03/25 13:30:00</v>
      </c>
      <c r="G136" s="3">
        <f t="shared" si="6"/>
        <v>40627</v>
      </c>
    </row>
    <row r="137" spans="6:7">
      <c r="F137" t="str">
        <v>2011/04/28 14:30:00</v>
      </c>
      <c r="G137" s="3">
        <f t="shared" si="6"/>
        <v>40661</v>
      </c>
    </row>
    <row r="138" spans="6:7">
      <c r="F138" t="str">
        <v>2011/05/26 14:30:00</v>
      </c>
      <c r="G138" s="3">
        <f t="shared" si="6"/>
        <v>40689</v>
      </c>
    </row>
    <row r="139" spans="6:7">
      <c r="F139" t="str">
        <v>2011/06/24 14:30:00</v>
      </c>
      <c r="G139" s="3">
        <f t="shared" si="6"/>
        <v>40718</v>
      </c>
    </row>
    <row r="140" spans="6:7">
      <c r="F140" t="str">
        <v>2011/07/29 14:30:00</v>
      </c>
      <c r="G140" s="3">
        <f t="shared" si="6"/>
        <v>40753</v>
      </c>
    </row>
    <row r="141" spans="6:7">
      <c r="F141" t="str">
        <v>2011/08/26 14:30:00</v>
      </c>
      <c r="G141" s="3">
        <f t="shared" si="6"/>
        <v>40781</v>
      </c>
    </row>
    <row r="142" spans="6:7">
      <c r="F142" t="str">
        <v>2011/09/29 14:30:00</v>
      </c>
      <c r="G142" s="3">
        <f t="shared" si="6"/>
        <v>40815</v>
      </c>
    </row>
    <row r="143" spans="6:7">
      <c r="F143" t="str">
        <v>2011/10/27 14:30:00</v>
      </c>
      <c r="G143" s="3">
        <f t="shared" si="6"/>
        <v>40843</v>
      </c>
    </row>
    <row r="144" spans="6:7">
      <c r="F144" t="str">
        <v>2011/11/22 14:30:00</v>
      </c>
      <c r="G144" s="3">
        <f t="shared" si="6"/>
        <v>40869</v>
      </c>
    </row>
    <row r="145" spans="6:7">
      <c r="F145" t="str">
        <v>2011/12/22 14:30:00</v>
      </c>
      <c r="G145" s="3">
        <f t="shared" si="6"/>
        <v>40899</v>
      </c>
    </row>
    <row r="146" spans="6:7">
      <c r="F146" t="str">
        <v>2012/01/27 14:30:00</v>
      </c>
      <c r="G146" s="3">
        <f t="shared" si="6"/>
        <v>40935</v>
      </c>
    </row>
    <row r="147" spans="6:7">
      <c r="F147" t="str">
        <v>2012/02/29 14:30:00</v>
      </c>
      <c r="G147" s="3">
        <f t="shared" si="6"/>
        <v>40968</v>
      </c>
    </row>
    <row r="148" spans="6:7">
      <c r="F148" t="str">
        <v>2012/03/29 14:30:00</v>
      </c>
      <c r="G148" s="3">
        <f t="shared" si="6"/>
        <v>40997</v>
      </c>
    </row>
    <row r="149" spans="6:7">
      <c r="F149" t="str">
        <v>2012/04/27 14:30:00</v>
      </c>
      <c r="G149" s="3">
        <f t="shared" si="6"/>
        <v>41026</v>
      </c>
    </row>
    <row r="150" spans="6:7">
      <c r="F150" t="str">
        <v>2012/05/31 14:30:00</v>
      </c>
      <c r="G150" s="3">
        <f t="shared" si="6"/>
        <v>41060</v>
      </c>
    </row>
    <row r="151" spans="6:7">
      <c r="F151" t="str">
        <v>2012/06/28 14:30:00</v>
      </c>
      <c r="G151" s="3">
        <f t="shared" si="6"/>
        <v>41088</v>
      </c>
    </row>
    <row r="152" spans="6:7">
      <c r="F152" t="str">
        <v>2012/07/27 14:30:00</v>
      </c>
      <c r="G152" s="3">
        <f t="shared" si="6"/>
        <v>41117</v>
      </c>
    </row>
    <row r="153" spans="6:7">
      <c r="F153" t="str">
        <v>2012/08/29 14:30:00</v>
      </c>
      <c r="G153" s="3">
        <f t="shared" si="6"/>
        <v>41150</v>
      </c>
    </row>
    <row r="154" spans="6:7">
      <c r="F154" t="str">
        <v>2012/09/27 14:30:00</v>
      </c>
      <c r="G154" s="3">
        <f t="shared" si="6"/>
        <v>41179</v>
      </c>
    </row>
    <row r="155" spans="6:7">
      <c r="F155" t="str">
        <v>2012/10/26 14:30:00</v>
      </c>
      <c r="G155" s="3">
        <f t="shared" si="6"/>
        <v>41208</v>
      </c>
    </row>
    <row r="156" spans="6:7">
      <c r="F156" t="str">
        <v>2012/11/29 14:30:00</v>
      </c>
      <c r="G156" s="3">
        <f t="shared" si="6"/>
        <v>41242</v>
      </c>
    </row>
    <row r="157" spans="6:7">
      <c r="F157" t="str">
        <v>2012/12/20 14:30:00</v>
      </c>
      <c r="G157" s="3">
        <f t="shared" si="6"/>
        <v>41263</v>
      </c>
    </row>
    <row r="158" spans="6:7">
      <c r="F158" t="str">
        <v>2013/01/30 14:30:00</v>
      </c>
      <c r="G158" s="3">
        <f t="shared" si="6"/>
        <v>41304</v>
      </c>
    </row>
    <row r="159" spans="6:7">
      <c r="F159" t="str">
        <v>2013/02/28 14:30:00</v>
      </c>
      <c r="G159" s="3">
        <f t="shared" si="6"/>
        <v>41333</v>
      </c>
    </row>
    <row r="160" spans="6:7">
      <c r="F160" t="str">
        <v>2013/03/28 13:30:00</v>
      </c>
      <c r="G160" s="3">
        <f t="shared" si="6"/>
        <v>41361</v>
      </c>
    </row>
    <row r="161" spans="6:7">
      <c r="F161" t="str">
        <v>2013/04/26 14:30:00</v>
      </c>
      <c r="G161" s="3">
        <f t="shared" si="6"/>
        <v>41390</v>
      </c>
    </row>
    <row r="162" spans="6:7">
      <c r="F162" t="str">
        <v>2013/05/30 14:30:00</v>
      </c>
      <c r="G162" s="3">
        <f t="shared" si="6"/>
        <v>41424</v>
      </c>
    </row>
    <row r="163" spans="6:7">
      <c r="F163" t="str">
        <v>2013/06/26 14:30:00</v>
      </c>
      <c r="G163" s="3">
        <f t="shared" si="6"/>
        <v>41451</v>
      </c>
    </row>
    <row r="164" spans="6:7">
      <c r="F164" t="str">
        <v>2013/07/31 14:30:00</v>
      </c>
      <c r="G164" s="3">
        <f t="shared" si="6"/>
        <v>41486</v>
      </c>
    </row>
    <row r="165" spans="6:7">
      <c r="F165" t="str">
        <v>2013/08/29 14:30:00</v>
      </c>
      <c r="G165" s="3">
        <f t="shared" si="6"/>
        <v>41515</v>
      </c>
    </row>
    <row r="166" spans="6:7">
      <c r="F166" t="str">
        <v>2013/09/26 14:30:00</v>
      </c>
      <c r="G166" s="3">
        <f t="shared" si="6"/>
        <v>41543</v>
      </c>
    </row>
    <row r="167" spans="6:7">
      <c r="F167" t="str">
        <v>2013/11/07 14:30:00</v>
      </c>
      <c r="G167" s="3">
        <f t="shared" si="6"/>
        <v>41585</v>
      </c>
    </row>
    <row r="168" spans="6:7">
      <c r="F168" t="str">
        <v>2013/12/05 14:30:00</v>
      </c>
      <c r="G168" s="3">
        <f t="shared" si="6"/>
        <v>41613</v>
      </c>
    </row>
    <row r="169" spans="6:7">
      <c r="F169" t="str">
        <v>2013/12/20 14:30:00</v>
      </c>
      <c r="G169" s="3">
        <f t="shared" si="6"/>
        <v>41628</v>
      </c>
    </row>
    <row r="170" spans="6:7">
      <c r="F170" t="str">
        <v>2014/01/30 14:30:00</v>
      </c>
      <c r="G170" s="3">
        <f t="shared" si="6"/>
        <v>41669</v>
      </c>
    </row>
    <row r="171" spans="6:7">
      <c r="F171" t="str">
        <v>2014/02/28 14:30:00</v>
      </c>
      <c r="G171" s="3">
        <f t="shared" si="6"/>
        <v>41698</v>
      </c>
    </row>
    <row r="172" spans="6:7">
      <c r="F172" t="str">
        <v>2014/03/27 13:30:00</v>
      </c>
      <c r="G172" s="3">
        <f t="shared" si="6"/>
        <v>41725</v>
      </c>
    </row>
    <row r="173" spans="6:7">
      <c r="F173" t="str">
        <v>2014/04/30 14:30:00</v>
      </c>
      <c r="G173" s="3">
        <f t="shared" si="6"/>
        <v>41759</v>
      </c>
    </row>
    <row r="174" spans="6:7">
      <c r="F174" t="str">
        <v>2014/05/29 14:30:00</v>
      </c>
      <c r="G174" s="3">
        <f t="shared" si="6"/>
        <v>41788</v>
      </c>
    </row>
    <row r="175" spans="6:7">
      <c r="F175" t="str">
        <v>2014/06/25 14:30:00</v>
      </c>
      <c r="G175" s="3">
        <f t="shared" si="6"/>
        <v>41815</v>
      </c>
    </row>
    <row r="176" spans="6:7">
      <c r="F176" t="str">
        <v>2014/07/30 14:30:00</v>
      </c>
      <c r="G176" s="3">
        <f t="shared" si="6"/>
        <v>41850</v>
      </c>
    </row>
    <row r="177" spans="6:7">
      <c r="F177" t="str">
        <v>2014/08/28 14:30:00</v>
      </c>
      <c r="G177" s="3">
        <f t="shared" si="6"/>
        <v>41879</v>
      </c>
    </row>
    <row r="178" spans="6:7">
      <c r="F178" t="str">
        <v>2014/09/26 14:30:00</v>
      </c>
      <c r="G178" s="3">
        <f t="shared" si="6"/>
        <v>41908</v>
      </c>
    </row>
    <row r="179" spans="6:7">
      <c r="F179" t="str">
        <v>2014/10/30 13:30:00</v>
      </c>
      <c r="G179" s="3">
        <f t="shared" si="6"/>
        <v>41942</v>
      </c>
    </row>
    <row r="180" spans="6:7">
      <c r="F180" t="str">
        <v>2014/11/25 14:30:00</v>
      </c>
      <c r="G180" s="3">
        <f t="shared" si="6"/>
        <v>41968</v>
      </c>
    </row>
    <row r="181" spans="6:7">
      <c r="F181" t="str">
        <v>2014/12/23 14:30:00</v>
      </c>
      <c r="G181" s="3">
        <f t="shared" si="6"/>
        <v>41996</v>
      </c>
    </row>
    <row r="182" spans="6:7">
      <c r="F182" t="str">
        <v>2015/01/30 14:30:00</v>
      </c>
      <c r="G182" s="3">
        <f t="shared" si="6"/>
        <v>42034</v>
      </c>
    </row>
    <row r="183" spans="6:7">
      <c r="F183" t="str">
        <v>2015/02/27 14:30:00</v>
      </c>
      <c r="G183" s="3">
        <f t="shared" si="6"/>
        <v>42062</v>
      </c>
    </row>
    <row r="184" spans="6:7">
      <c r="F184" t="str">
        <v>2015/03/27 13:30:00</v>
      </c>
      <c r="G184" s="3">
        <f t="shared" si="6"/>
        <v>42090</v>
      </c>
    </row>
    <row r="185" spans="6:7">
      <c r="F185" t="str">
        <v>2015/04/29 14:30:00</v>
      </c>
      <c r="G185" s="3">
        <f t="shared" si="6"/>
        <v>42123</v>
      </c>
    </row>
    <row r="186" spans="6:7">
      <c r="F186" t="str">
        <v>2015/05/29 14:30:00</v>
      </c>
      <c r="G186" s="3">
        <f t="shared" si="6"/>
        <v>42153</v>
      </c>
    </row>
    <row r="187" spans="6:7">
      <c r="F187" t="str">
        <v>2015/06/24 14:30:00</v>
      </c>
      <c r="G187" s="3">
        <f t="shared" si="6"/>
        <v>42179</v>
      </c>
    </row>
    <row r="188" spans="6:7">
      <c r="F188" t="str">
        <v>2015/07/30 14:30:00</v>
      </c>
      <c r="G188" s="3">
        <f t="shared" si="6"/>
        <v>42215</v>
      </c>
    </row>
    <row r="189" spans="6:7">
      <c r="F189" t="str">
        <v>2015/08/27 14:30:00</v>
      </c>
      <c r="G189" s="3">
        <f t="shared" si="6"/>
        <v>42243</v>
      </c>
    </row>
    <row r="190" spans="6:7">
      <c r="F190" t="str">
        <v>2015/09/25 14:30:00</v>
      </c>
      <c r="G190" s="3">
        <f t="shared" si="6"/>
        <v>42272</v>
      </c>
    </row>
    <row r="191" spans="6:7">
      <c r="F191" t="str">
        <v>2015/10/29 13:30:00</v>
      </c>
      <c r="G191" s="3">
        <f t="shared" si="6"/>
        <v>42306</v>
      </c>
    </row>
    <row r="192" spans="6:7">
      <c r="F192" t="str">
        <v>2015/11/24 14:30:00</v>
      </c>
      <c r="G192" s="3">
        <f t="shared" si="6"/>
        <v>42332</v>
      </c>
    </row>
    <row r="193" spans="6:7">
      <c r="F193" t="str">
        <v>2015/12/22 14:30:00</v>
      </c>
      <c r="G193" s="3">
        <f t="shared" si="6"/>
        <v>42360</v>
      </c>
    </row>
    <row r="194" spans="6:7">
      <c r="F194" t="str">
        <v>2016/01/29 14:30:00</v>
      </c>
      <c r="G194" s="3">
        <f t="shared" si="6"/>
        <v>42398</v>
      </c>
    </row>
    <row r="195" spans="6:7">
      <c r="F195" t="str">
        <v>2016/02/26 14:30:00</v>
      </c>
      <c r="G195" s="3">
        <f t="shared" ref="G195:G258" si="7">INT(F195)</f>
        <v>42426</v>
      </c>
    </row>
    <row r="196" spans="6:7">
      <c r="F196" t="str">
        <v>2016/03/25 13:30:00</v>
      </c>
      <c r="G196" s="3">
        <f t="shared" si="7"/>
        <v>42454</v>
      </c>
    </row>
    <row r="197" spans="6:7">
      <c r="F197" t="str">
        <v>2016/04/28 14:30:00</v>
      </c>
      <c r="G197" s="3">
        <f t="shared" si="7"/>
        <v>42488</v>
      </c>
    </row>
    <row r="198" spans="6:7">
      <c r="F198" t="str">
        <v>2016/05/27 14:30:00</v>
      </c>
      <c r="G198" s="3">
        <f t="shared" si="7"/>
        <v>42517</v>
      </c>
    </row>
    <row r="199" spans="6:7">
      <c r="F199" t="str">
        <v>2016/06/28 14:30:00</v>
      </c>
      <c r="G199" s="3">
        <f t="shared" si="7"/>
        <v>42549</v>
      </c>
    </row>
    <row r="200" spans="6:7">
      <c r="F200" t="str">
        <v>2016/07/29 14:30:00</v>
      </c>
      <c r="G200" s="3">
        <f t="shared" si="7"/>
        <v>42580</v>
      </c>
    </row>
    <row r="201" spans="6:7">
      <c r="F201" t="str">
        <v>2016/08/26 14:30:00</v>
      </c>
      <c r="G201" s="3">
        <f t="shared" si="7"/>
        <v>42608</v>
      </c>
    </row>
    <row r="202" spans="6:7">
      <c r="F202" t="str">
        <v>2016/09/29 14:30:00</v>
      </c>
      <c r="G202" s="3">
        <f t="shared" si="7"/>
        <v>42642</v>
      </c>
    </row>
    <row r="203" spans="6:7">
      <c r="F203" t="str">
        <v>2016/10/28 14:30:00</v>
      </c>
      <c r="G203" s="3">
        <f t="shared" si="7"/>
        <v>42671</v>
      </c>
    </row>
    <row r="204" spans="6:7">
      <c r="F204" t="str">
        <v>2016/11/29 14:30:00</v>
      </c>
      <c r="G204" s="3">
        <f t="shared" si="7"/>
        <v>42703</v>
      </c>
    </row>
    <row r="205" spans="6:7">
      <c r="F205" t="str">
        <v>2016/12/22 14:30:00</v>
      </c>
      <c r="G205" s="3">
        <f t="shared" si="7"/>
        <v>42726</v>
      </c>
    </row>
    <row r="206" spans="6:7">
      <c r="F206" t="str">
        <v>2017/01/27 14:30:00</v>
      </c>
      <c r="G206" s="3">
        <f t="shared" si="7"/>
        <v>42762</v>
      </c>
    </row>
    <row r="207" spans="6:7">
      <c r="F207" t="str">
        <v>2017/02/28 14:30:00</v>
      </c>
      <c r="G207" s="3">
        <f t="shared" si="7"/>
        <v>42794</v>
      </c>
    </row>
    <row r="208" spans="6:7">
      <c r="F208" t="str">
        <v>2017/03/30 14:30:00</v>
      </c>
      <c r="G208" s="3">
        <f t="shared" si="7"/>
        <v>42824</v>
      </c>
    </row>
    <row r="209" spans="6:7">
      <c r="F209" t="str">
        <v>2017/04/28 14:30:00</v>
      </c>
      <c r="G209" s="3">
        <f t="shared" si="7"/>
        <v>42853</v>
      </c>
    </row>
    <row r="210" spans="6:7">
      <c r="F210" t="str">
        <v>2017/05/26 14:30:00</v>
      </c>
      <c r="G210" s="3">
        <f t="shared" si="7"/>
        <v>42881</v>
      </c>
    </row>
    <row r="211" spans="6:7">
      <c r="F211" t="str">
        <v>2017/06/29 14:30:00</v>
      </c>
      <c r="G211" s="3">
        <f t="shared" si="7"/>
        <v>42915</v>
      </c>
    </row>
    <row r="212" spans="6:7">
      <c r="F212" t="str">
        <v>2017/07/28 14:30:00</v>
      </c>
      <c r="G212" s="3">
        <f t="shared" si="7"/>
        <v>42944</v>
      </c>
    </row>
    <row r="213" spans="6:7">
      <c r="F213" t="str">
        <v>2017/08/30 14:30:00</v>
      </c>
      <c r="G213" s="3">
        <f t="shared" si="7"/>
        <v>42977</v>
      </c>
    </row>
    <row r="214" spans="6:7">
      <c r="F214" t="str">
        <v>2017/09/28 14:30:00</v>
      </c>
      <c r="G214" s="3">
        <f t="shared" si="7"/>
        <v>43006</v>
      </c>
    </row>
    <row r="215" spans="6:7">
      <c r="F215" t="str">
        <v>2017/10/27 14:30:00</v>
      </c>
      <c r="G215" s="3">
        <f t="shared" si="7"/>
        <v>43035</v>
      </c>
    </row>
    <row r="216" spans="6:7">
      <c r="F216" t="str">
        <v>2017/11/29 14:30:00</v>
      </c>
      <c r="G216" s="3">
        <f t="shared" si="7"/>
        <v>43068</v>
      </c>
    </row>
    <row r="217" spans="6:7">
      <c r="F217" t="str">
        <v>2017/12/21 14:30:00</v>
      </c>
      <c r="G217" s="3">
        <f t="shared" si="7"/>
        <v>43090</v>
      </c>
    </row>
    <row r="218" spans="6:7">
      <c r="F218" t="str">
        <v>2018/01/26 14:30:00</v>
      </c>
      <c r="G218" s="3">
        <f t="shared" si="7"/>
        <v>43126</v>
      </c>
    </row>
    <row r="219" spans="6:7">
      <c r="F219" t="str">
        <v>2018/02/28 14:30:00</v>
      </c>
      <c r="G219" s="3">
        <f t="shared" si="7"/>
        <v>43159</v>
      </c>
    </row>
    <row r="220" spans="6:7">
      <c r="F220" t="str">
        <v>2018/03/28 14:30:00</v>
      </c>
      <c r="G220" s="3">
        <f t="shared" si="7"/>
        <v>43187</v>
      </c>
    </row>
    <row r="221" spans="6:7">
      <c r="F221" t="str">
        <v>2018/04/27 14:30:00</v>
      </c>
      <c r="G221" s="3">
        <f t="shared" si="7"/>
        <v>43217</v>
      </c>
    </row>
    <row r="222" spans="6:7">
      <c r="F222" t="str">
        <v>2018/05/30 14:30:00</v>
      </c>
      <c r="G222" s="3">
        <f t="shared" si="7"/>
        <v>43250</v>
      </c>
    </row>
    <row r="223" spans="6:7">
      <c r="F223" t="str">
        <v>2018/06/28 14:30:00</v>
      </c>
      <c r="G223" s="3">
        <f t="shared" si="7"/>
        <v>43279</v>
      </c>
    </row>
    <row r="224" spans="6:7">
      <c r="F224" t="str">
        <v>2018/07/27 14:30:00</v>
      </c>
      <c r="G224" s="3">
        <f t="shared" si="7"/>
        <v>43308</v>
      </c>
    </row>
    <row r="225" spans="6:7">
      <c r="F225" t="str">
        <v>2018/08/29 14:30:00</v>
      </c>
      <c r="G225" s="3">
        <f t="shared" si="7"/>
        <v>43341</v>
      </c>
    </row>
    <row r="226" spans="6:7">
      <c r="F226" t="str">
        <v>2018/09/27 14:30:00</v>
      </c>
      <c r="G226" s="3">
        <f t="shared" si="7"/>
        <v>43370</v>
      </c>
    </row>
    <row r="227" spans="6:7">
      <c r="F227" t="str">
        <v>2018/10/26 14:30:00</v>
      </c>
      <c r="G227" s="3">
        <f t="shared" si="7"/>
        <v>43399</v>
      </c>
    </row>
    <row r="228" spans="6:7">
      <c r="F228" t="str">
        <v>2018/11/28 14:30:00</v>
      </c>
      <c r="G228" s="3">
        <f t="shared" si="7"/>
        <v>43432</v>
      </c>
    </row>
    <row r="229" spans="6:7">
      <c r="F229" t="str">
        <v>2018/12/21 14:30:00</v>
      </c>
      <c r="G229" s="3">
        <f t="shared" si="7"/>
        <v>43455</v>
      </c>
    </row>
    <row r="230" spans="6:7">
      <c r="F230" t="str">
        <v>2019/02/28 14:30:00</v>
      </c>
      <c r="G230" s="3">
        <f t="shared" si="7"/>
        <v>43524</v>
      </c>
    </row>
    <row r="231" spans="6:7">
      <c r="F231" t="str">
        <v>2019/03/28 13:30:00</v>
      </c>
      <c r="G231" s="3">
        <f t="shared" si="7"/>
        <v>43552</v>
      </c>
    </row>
    <row r="232" spans="6:7">
      <c r="F232" t="str">
        <v>2019/04/26 14:30:00</v>
      </c>
      <c r="G232" s="3">
        <f t="shared" si="7"/>
        <v>43581</v>
      </c>
    </row>
    <row r="233" spans="6:7">
      <c r="F233" t="str">
        <v>2019/05/30 14:30:00</v>
      </c>
      <c r="G233" s="3">
        <f t="shared" si="7"/>
        <v>43615</v>
      </c>
    </row>
    <row r="234" spans="6:7">
      <c r="F234" t="str">
        <v>2019/06/27 14:30:00</v>
      </c>
      <c r="G234" s="3">
        <f t="shared" si="7"/>
        <v>43643</v>
      </c>
    </row>
    <row r="235" spans="6:7">
      <c r="F235" t="str">
        <v>2019/07/26 14:30:00</v>
      </c>
      <c r="G235" s="3">
        <f t="shared" si="7"/>
        <v>43672</v>
      </c>
    </row>
    <row r="236" spans="6:7">
      <c r="F236" t="str">
        <v>2019/08/29 14:30:00</v>
      </c>
      <c r="G236" s="3">
        <f t="shared" si="7"/>
        <v>43706</v>
      </c>
    </row>
    <row r="237" spans="6:7">
      <c r="F237" t="str">
        <v>2019/09/26 14:30:00</v>
      </c>
      <c r="G237" s="3">
        <f t="shared" si="7"/>
        <v>43734</v>
      </c>
    </row>
    <row r="238" spans="6:7">
      <c r="F238" t="str">
        <v>2019/10/30 13:30:00</v>
      </c>
      <c r="G238" s="3">
        <f t="shared" si="7"/>
        <v>43768</v>
      </c>
    </row>
    <row r="239" spans="6:7">
      <c r="F239" t="str">
        <v>2019/11/27 14:30:00</v>
      </c>
      <c r="G239" s="3">
        <f t="shared" si="7"/>
        <v>43796</v>
      </c>
    </row>
    <row r="240" spans="6:7">
      <c r="F240" t="str">
        <v>2019/12/20 14:30:00</v>
      </c>
      <c r="G240" s="3">
        <f t="shared" si="7"/>
        <v>43819</v>
      </c>
    </row>
    <row r="241" spans="6:7">
      <c r="F241" t="str">
        <v>2020/01/30 14:30:00</v>
      </c>
      <c r="G241" s="3">
        <f t="shared" si="7"/>
        <v>43860</v>
      </c>
    </row>
    <row r="242" spans="6:7">
      <c r="F242" t="str">
        <v>2020/02/27 14:30:00</v>
      </c>
      <c r="G242" s="3">
        <f t="shared" si="7"/>
        <v>43888</v>
      </c>
    </row>
    <row r="243" spans="6:7">
      <c r="F243" t="str">
        <v>2020/03/26 13:30:00</v>
      </c>
      <c r="G243" s="3">
        <f t="shared" si="7"/>
        <v>43916</v>
      </c>
    </row>
    <row r="244" spans="6:7">
      <c r="F244" t="str">
        <v>2020/04/29 14:30:00</v>
      </c>
      <c r="G244" s="3">
        <f t="shared" si="7"/>
        <v>43950</v>
      </c>
    </row>
    <row r="245" spans="6:7">
      <c r="F245" t="str">
        <v>2020/05/28 14:30:00</v>
      </c>
      <c r="G245" s="3">
        <f t="shared" si="7"/>
        <v>43979</v>
      </c>
    </row>
    <row r="246" spans="6:7">
      <c r="F246" t="str">
        <v>2020/06/25 14:30:00</v>
      </c>
      <c r="G246" s="3">
        <f t="shared" si="7"/>
        <v>44007</v>
      </c>
    </row>
    <row r="247" spans="6:7">
      <c r="F247" t="str">
        <v>2020/07/30 14:30:00</v>
      </c>
      <c r="G247" s="3">
        <f t="shared" si="7"/>
        <v>44042</v>
      </c>
    </row>
    <row r="248" spans="6:7">
      <c r="F248" t="str">
        <v>2020/08/27 14:30:00</v>
      </c>
      <c r="G248" s="3">
        <f t="shared" si="7"/>
        <v>44070</v>
      </c>
    </row>
    <row r="249" spans="6:7">
      <c r="F249" t="str">
        <v>2020/09/30 14:30:00</v>
      </c>
      <c r="G249" s="3">
        <f t="shared" si="7"/>
        <v>44104</v>
      </c>
    </row>
    <row r="250" spans="6:7">
      <c r="F250" t="str">
        <v>2020/10/29 13:30:00</v>
      </c>
      <c r="G250" s="3">
        <f t="shared" si="7"/>
        <v>44133</v>
      </c>
    </row>
    <row r="251" spans="6:7">
      <c r="F251" t="str">
        <v>2020/11/25 14:30:00</v>
      </c>
      <c r="G251" s="3">
        <f t="shared" si="7"/>
        <v>44160</v>
      </c>
    </row>
    <row r="252" spans="6:7">
      <c r="F252" t="str">
        <v>2020/12/22 14:30:00</v>
      </c>
      <c r="G252" s="3">
        <f t="shared" si="7"/>
        <v>44187</v>
      </c>
    </row>
    <row r="253" spans="6:7">
      <c r="F253" t="str">
        <v>2021/01/28 14:30:00</v>
      </c>
      <c r="G253" s="3">
        <f t="shared" si="7"/>
        <v>44224</v>
      </c>
    </row>
    <row r="254" spans="6:7">
      <c r="F254" t="str">
        <v>2021/02/25 14:30:00</v>
      </c>
      <c r="G254" s="3">
        <f t="shared" si="7"/>
        <v>44252</v>
      </c>
    </row>
    <row r="255" spans="6:7">
      <c r="F255" t="str">
        <v>2021/03/25 13:30:00</v>
      </c>
      <c r="G255" s="3">
        <f t="shared" si="7"/>
        <v>44280</v>
      </c>
    </row>
    <row r="256" spans="6:7">
      <c r="F256" t="str">
        <v>2021/04/29 14:30:00</v>
      </c>
      <c r="G256" s="3">
        <f t="shared" si="7"/>
        <v>44315</v>
      </c>
    </row>
    <row r="257" spans="6:7">
      <c r="F257" t="str">
        <v>2021/05/27 14:30:00</v>
      </c>
      <c r="G257" s="3">
        <f t="shared" si="7"/>
        <v>44343</v>
      </c>
    </row>
    <row r="258" spans="6:7">
      <c r="F258" t="str">
        <v>2021/06/24 14:30:00</v>
      </c>
      <c r="G258" s="3">
        <f t="shared" si="7"/>
        <v>44371</v>
      </c>
    </row>
    <row r="259" spans="6:7">
      <c r="F259" t="str">
        <v>2021/07/29 14:30:00</v>
      </c>
      <c r="G259" s="3">
        <f t="shared" ref="G259:G313" si="8">INT(F259)</f>
        <v>44406</v>
      </c>
    </row>
    <row r="260" spans="6:7">
      <c r="F260" t="str">
        <v>2021/08/26 14:30:00</v>
      </c>
      <c r="G260" s="3">
        <f t="shared" si="8"/>
        <v>44434</v>
      </c>
    </row>
    <row r="261" spans="6:7">
      <c r="F261" t="str">
        <v>2021/09/30 14:30:00</v>
      </c>
      <c r="G261" s="3">
        <f t="shared" si="8"/>
        <v>44469</v>
      </c>
    </row>
    <row r="262" spans="6:7">
      <c r="F262" t="str">
        <v>2021/10/28 14:30:00</v>
      </c>
      <c r="G262" s="3">
        <f t="shared" si="8"/>
        <v>44497</v>
      </c>
    </row>
    <row r="263" spans="6:7">
      <c r="F263" t="str">
        <v>2021/11/24 14:30:00</v>
      </c>
      <c r="G263" s="3">
        <f t="shared" si="8"/>
        <v>44524</v>
      </c>
    </row>
    <row r="264" spans="6:7">
      <c r="F264" t="str">
        <v>2021/12/22 14:30:00</v>
      </c>
      <c r="G264" s="3">
        <f t="shared" si="8"/>
        <v>44552</v>
      </c>
    </row>
    <row r="265" spans="6:7">
      <c r="F265" t="str">
        <v>2022/01/27 14:30:00</v>
      </c>
      <c r="G265" s="3">
        <f t="shared" si="8"/>
        <v>44588</v>
      </c>
    </row>
    <row r="266" spans="6:7">
      <c r="F266" t="str">
        <v>2022/02/24 14:30:00</v>
      </c>
      <c r="G266" s="3">
        <f t="shared" si="8"/>
        <v>44616</v>
      </c>
    </row>
    <row r="267" spans="6:7">
      <c r="F267" t="str">
        <v>2022/03/30 14:30:00</v>
      </c>
      <c r="G267" s="3">
        <f t="shared" si="8"/>
        <v>44650</v>
      </c>
    </row>
    <row r="268" spans="6:7">
      <c r="F268" t="str">
        <v>2022/04/28 14:30:00</v>
      </c>
      <c r="G268" s="3">
        <f t="shared" si="8"/>
        <v>44679</v>
      </c>
    </row>
    <row r="269" spans="6:7">
      <c r="F269" t="str">
        <v>2022/05/26 14:30:00</v>
      </c>
      <c r="G269" s="3">
        <f t="shared" si="8"/>
        <v>44707</v>
      </c>
    </row>
    <row r="270" spans="6:7">
      <c r="F270" t="str">
        <v>2022/06/29 14:30:00</v>
      </c>
      <c r="G270" s="3">
        <f t="shared" si="8"/>
        <v>44741</v>
      </c>
    </row>
    <row r="271" spans="6:7">
      <c r="F271" t="str">
        <v>2022/07/28 14:30:00</v>
      </c>
      <c r="G271" s="3">
        <f t="shared" si="8"/>
        <v>44770</v>
      </c>
    </row>
    <row r="272" spans="6:7">
      <c r="F272" t="str">
        <v>2022/08/25 14:30:00</v>
      </c>
      <c r="G272" s="3">
        <f t="shared" si="8"/>
        <v>44798</v>
      </c>
    </row>
    <row r="273" spans="6:7">
      <c r="F273" t="str">
        <v>2022/09/29 14:30:00</v>
      </c>
      <c r="G273" s="3">
        <f t="shared" si="8"/>
        <v>44833</v>
      </c>
    </row>
    <row r="274" spans="6:7">
      <c r="F274" t="str">
        <v>2022/10/27 14:30:00</v>
      </c>
      <c r="G274" s="3">
        <f t="shared" si="8"/>
        <v>44861</v>
      </c>
    </row>
    <row r="275" spans="6:7">
      <c r="F275" t="str">
        <v>2022/11/30 14:30:00</v>
      </c>
      <c r="G275" s="3">
        <f t="shared" si="8"/>
        <v>44895</v>
      </c>
    </row>
    <row r="276" spans="6:7">
      <c r="F276" t="str">
        <v>2022/12/22 14:30:00</v>
      </c>
      <c r="G276" s="3">
        <f t="shared" si="8"/>
        <v>44917</v>
      </c>
    </row>
    <row r="277" spans="6:7">
      <c r="F277" t="str">
        <v>2023/01/26 14:30:00</v>
      </c>
      <c r="G277" s="3">
        <f t="shared" si="8"/>
        <v>44952</v>
      </c>
    </row>
    <row r="278" spans="6:7">
      <c r="F278" t="str">
        <v>2023/02/23 14:30:00</v>
      </c>
      <c r="G278" s="3">
        <f t="shared" si="8"/>
        <v>44980</v>
      </c>
    </row>
    <row r="279" spans="6:7">
      <c r="F279" t="str">
        <v>2023/03/30 14:30:00</v>
      </c>
      <c r="G279" s="3">
        <f t="shared" si="8"/>
        <v>45015</v>
      </c>
    </row>
    <row r="280" spans="6:7">
      <c r="F280" t="str">
        <v>2023/04/27 14:30:00</v>
      </c>
      <c r="G280" s="3">
        <f t="shared" si="8"/>
        <v>45043</v>
      </c>
    </row>
    <row r="281" spans="6:7">
      <c r="F281" t="str">
        <v>2023/05/25 14:30:00</v>
      </c>
      <c r="G281" s="3">
        <f t="shared" si="8"/>
        <v>45071</v>
      </c>
    </row>
    <row r="282" spans="6:7">
      <c r="F282" t="str">
        <v>2023/06/29 14:30:00</v>
      </c>
      <c r="G282" s="3">
        <f t="shared" si="8"/>
        <v>45106</v>
      </c>
    </row>
    <row r="283" spans="6:7">
      <c r="F283" t="str">
        <v>2023/07/27 14:30:00</v>
      </c>
      <c r="G283" s="3">
        <f t="shared" si="8"/>
        <v>45134</v>
      </c>
    </row>
    <row r="284" spans="6:7">
      <c r="F284" t="str">
        <v>2023/08/30 14:30:00</v>
      </c>
      <c r="G284" s="3">
        <f t="shared" si="8"/>
        <v>45168</v>
      </c>
    </row>
    <row r="285" spans="6:7">
      <c r="F285" t="str">
        <v>2023/09/28 14:30:00</v>
      </c>
      <c r="G285" s="3">
        <f t="shared" si="8"/>
        <v>45197</v>
      </c>
    </row>
    <row r="286" spans="6:7">
      <c r="F286" t="str">
        <v>2023/10/26 14:30:00</v>
      </c>
      <c r="G286" s="3">
        <f t="shared" si="8"/>
        <v>45225</v>
      </c>
    </row>
    <row r="287" spans="6:7">
      <c r="F287" t="str">
        <v>2023/11/29 14:30:00</v>
      </c>
      <c r="G287" s="3">
        <f t="shared" si="8"/>
        <v>45259</v>
      </c>
    </row>
    <row r="288" spans="6:7">
      <c r="F288" t="str">
        <v>2023/12/21 14:30:00</v>
      </c>
      <c r="G288" s="3">
        <f t="shared" si="8"/>
        <v>45281</v>
      </c>
    </row>
    <row r="289" spans="6:7">
      <c r="F289" t="str">
        <v>2024/01/25 14:30:00</v>
      </c>
      <c r="G289" s="3">
        <f t="shared" si="8"/>
        <v>45316</v>
      </c>
    </row>
    <row r="290" spans="6:7">
      <c r="F290" t="str">
        <v>2024/02/28 14:30:00</v>
      </c>
      <c r="G290" s="3">
        <f t="shared" si="8"/>
        <v>45350</v>
      </c>
    </row>
    <row r="291" spans="6:7">
      <c r="F291" t="str">
        <v>2024/03/28 13:30:00</v>
      </c>
      <c r="G291" s="3">
        <f t="shared" si="8"/>
        <v>45379</v>
      </c>
    </row>
    <row r="292" spans="6:7">
      <c r="F292" t="str">
        <v>2024/04/25 14:30:00</v>
      </c>
      <c r="G292" s="3">
        <f t="shared" si="8"/>
        <v>45407</v>
      </c>
    </row>
    <row r="293" spans="6:7">
      <c r="F293" t="str">
        <v>2024/05/30 14:30:00</v>
      </c>
      <c r="G293" s="3">
        <f t="shared" si="8"/>
        <v>45442</v>
      </c>
    </row>
    <row r="294" spans="6:7">
      <c r="F294" t="str">
        <v>2024/06/27 14:30:00</v>
      </c>
      <c r="G294" s="3">
        <f t="shared" si="8"/>
        <v>45470</v>
      </c>
    </row>
    <row r="295" spans="6:7">
      <c r="F295" t="str">
        <v>2024/07/25 14:30:00</v>
      </c>
      <c r="G295" s="3">
        <f t="shared" si="8"/>
        <v>45498</v>
      </c>
    </row>
    <row r="296" spans="6:7">
      <c r="F296" t="str">
        <v>2024/08/29 14:30:00</v>
      </c>
      <c r="G296" s="3">
        <f t="shared" si="8"/>
        <v>45533</v>
      </c>
    </row>
    <row r="297" spans="6:7">
      <c r="F297" t="str">
        <v>2024/09/26 14:30:00</v>
      </c>
      <c r="G297" s="3">
        <f t="shared" si="8"/>
        <v>45561</v>
      </c>
    </row>
    <row r="298" spans="6:7">
      <c r="F298" t="str">
        <v>2024/10/30 13:30:00</v>
      </c>
      <c r="G298" s="3">
        <f t="shared" si="8"/>
        <v>45595</v>
      </c>
    </row>
    <row r="299" spans="6:7">
      <c r="F299" t="str">
        <v>2024/11/27 14:30:00</v>
      </c>
      <c r="G299" s="3">
        <f t="shared" si="8"/>
        <v>45623</v>
      </c>
    </row>
    <row r="300" spans="6:7">
      <c r="F300" t="str">
        <v>2024/12/19 14:30:00</v>
      </c>
      <c r="G300" s="3">
        <f t="shared" si="8"/>
        <v>45645</v>
      </c>
    </row>
    <row r="301" spans="6:7">
      <c r="F301" t="str">
        <v>2025/01/30 14:30:00</v>
      </c>
      <c r="G301" s="3">
        <f t="shared" si="8"/>
        <v>45687</v>
      </c>
    </row>
    <row r="302" spans="6:7">
      <c r="F302" t="str">
        <v>2025/02/27 14:30:00</v>
      </c>
      <c r="G302" s="3">
        <f t="shared" si="8"/>
        <v>45715</v>
      </c>
    </row>
    <row r="303" spans="6:7">
      <c r="F303" t="str">
        <v>2025/03/27 13:30:00</v>
      </c>
      <c r="G303" s="3">
        <f t="shared" si="8"/>
        <v>45743</v>
      </c>
    </row>
    <row r="304" spans="6:7">
      <c r="F304" t="str">
        <v>2025/04/30 14:30:00</v>
      </c>
      <c r="G304" s="3">
        <f t="shared" si="8"/>
        <v>45777</v>
      </c>
    </row>
    <row r="305" spans="6:7">
      <c r="F305" t="str">
        <v>2025/05/29 14:30:00</v>
      </c>
      <c r="G305" s="3">
        <f t="shared" si="8"/>
        <v>45806</v>
      </c>
    </row>
    <row r="306" spans="6:7">
      <c r="F306" t="str">
        <v>2025/06/26 14:30:00</v>
      </c>
      <c r="G306" s="3">
        <f t="shared" si="8"/>
        <v>45834</v>
      </c>
    </row>
    <row r="307" spans="6:7">
      <c r="F307" t="str">
        <v>2025/07/30 14:30:00</v>
      </c>
      <c r="G307" s="3">
        <f t="shared" si="8"/>
        <v>45868</v>
      </c>
    </row>
    <row r="308" spans="6:7">
      <c r="F308" t="str">
        <v>2025/08/28 14:30:00</v>
      </c>
      <c r="G308" s="3">
        <f t="shared" si="8"/>
        <v>45897</v>
      </c>
    </row>
    <row r="309" spans="6:7">
      <c r="F309" t="str">
        <v>2025/09/25 14:30:00</v>
      </c>
      <c r="G309" s="3">
        <f t="shared" si="8"/>
        <v>45925</v>
      </c>
    </row>
    <row r="310" spans="6:7">
      <c r="F310" t="str">
        <v>2025/12/23 14:30:00</v>
      </c>
      <c r="G310" s="3">
        <f t="shared" si="8"/>
        <v>46014</v>
      </c>
    </row>
    <row r="311" spans="6:7">
      <c r="F311" t="str">
        <v>2026/01/22 14:30:00</v>
      </c>
      <c r="G311" s="3">
        <f t="shared" si="8"/>
        <v>46044</v>
      </c>
    </row>
    <row r="312" spans="6:7">
      <c r="F312" t="str">
        <v>2026/02/20 14:30:00</v>
      </c>
      <c r="G312" s="3">
        <f t="shared" si="8"/>
        <v>46073</v>
      </c>
    </row>
    <row r="313" spans="6:7">
      <c r="F313" t="str">
        <v>2026/03/13 13:30:00</v>
      </c>
      <c r="G313" s="3">
        <f t="shared" si="8"/>
        <v>46094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55F34-11C3-41FF-A9A2-575CD560E8D6}">
  <dimension ref="A1:J638"/>
  <sheetViews>
    <sheetView workbookViewId="0">
      <selection activeCell="F3" sqref="F3"/>
    </sheetView>
  </sheetViews>
  <sheetFormatPr defaultRowHeight="15"/>
  <cols>
    <col min="1" max="1" width="11" customWidth="1"/>
    <col min="2" max="2" width="8.7109375" customWidth="1"/>
    <col min="4" max="4" width="20.140625" customWidth="1"/>
    <col min="5" max="5" width="8.7109375" customWidth="1"/>
    <col min="6" max="6" width="18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</row>
    <row r="2" spans="1:7">
      <c r="A2" s="1" cm="1">
        <f t="array" ref="A2:C315">_xll.BDH("NFP TCH Index","BN_SURVEY_MEDIAN,ACTUAL_RELEASE","2000-01-01","2026-03-19", "RELEASE_DATE_OVERRIDE", "1")</f>
        <v>36532</v>
      </c>
      <c r="B2">
        <v>245</v>
      </c>
      <c r="C2">
        <v>315</v>
      </c>
      <c r="D2" t="str">
        <f>_xlfn.XLOOKUP(A2,$G:$G,$F:$F,"")</f>
        <v>2000/01/07 14:30:00</v>
      </c>
      <c r="F2" s="1" t="str" cm="1">
        <f t="array" ref="F2:F316">_xll.BDS("NFP TCH Index","ECO_FUTURE_RELEASE_DATE_LIST","START_DT=2000-01-01","END_DT=2026-03-19", "TIME_ZONE_OVERRIDE=24", "TIME_ZONE_OVERRIDE=24")</f>
        <v>2000/01/07 14:30:00</v>
      </c>
      <c r="G2">
        <f>INT(F2)</f>
        <v>36532</v>
      </c>
    </row>
    <row r="3" spans="1:7">
      <c r="A3" s="1">
        <v>36560</v>
      </c>
      <c r="B3">
        <v>260</v>
      </c>
      <c r="C3">
        <v>387</v>
      </c>
      <c r="D3" t="str">
        <f t="shared" ref="D3:D66" si="0">_xlfn.XLOOKUP(A3,$G:$G,$F:$F,"")</f>
        <v>2000/02/04 14:30:00</v>
      </c>
      <c r="F3" s="1" t="str">
        <v>2000/02/04 14:30:00</v>
      </c>
      <c r="G3">
        <f t="shared" ref="G3:G66" si="1">INT(F3)</f>
        <v>36560</v>
      </c>
    </row>
    <row r="4" spans="1:7">
      <c r="A4" s="1">
        <v>36588</v>
      </c>
      <c r="B4">
        <v>213</v>
      </c>
      <c r="C4">
        <v>43</v>
      </c>
      <c r="D4" t="str">
        <f t="shared" si="0"/>
        <v>2000/03/03 14:30:00</v>
      </c>
      <c r="F4" s="1" t="str">
        <v>2000/03/03 14:30:00</v>
      </c>
      <c r="G4">
        <f t="shared" si="1"/>
        <v>36588</v>
      </c>
    </row>
    <row r="5" spans="1:7">
      <c r="A5" s="1">
        <v>36623</v>
      </c>
      <c r="B5">
        <v>380</v>
      </c>
      <c r="C5">
        <v>416</v>
      </c>
      <c r="D5" t="str">
        <f t="shared" si="0"/>
        <v>2000/04/07 14:30:00</v>
      </c>
      <c r="F5" s="1" t="str">
        <v>2000/04/07 14:30:00</v>
      </c>
      <c r="G5">
        <f t="shared" si="1"/>
        <v>36623</v>
      </c>
    </row>
    <row r="6" spans="1:7">
      <c r="A6" s="1">
        <v>36651</v>
      </c>
      <c r="B6">
        <v>340</v>
      </c>
      <c r="C6">
        <v>340</v>
      </c>
      <c r="D6" t="str">
        <f t="shared" si="0"/>
        <v>2000/05/05 14:30:00</v>
      </c>
      <c r="F6" s="1" t="str">
        <v>2000/05/05 14:30:00</v>
      </c>
      <c r="G6">
        <f t="shared" si="1"/>
        <v>36651</v>
      </c>
    </row>
    <row r="7" spans="1:7">
      <c r="A7" s="1">
        <v>36679</v>
      </c>
      <c r="B7">
        <v>380</v>
      </c>
      <c r="C7">
        <v>231</v>
      </c>
      <c r="D7" t="str">
        <f t="shared" si="0"/>
        <v>2000/06/02 14:30:00</v>
      </c>
      <c r="F7" s="1" t="str">
        <v>2000/06/02 14:30:00</v>
      </c>
      <c r="G7">
        <f t="shared" si="1"/>
        <v>36679</v>
      </c>
    </row>
    <row r="8" spans="1:7">
      <c r="A8" s="1">
        <v>36714</v>
      </c>
      <c r="B8">
        <v>250</v>
      </c>
      <c r="C8">
        <v>11</v>
      </c>
      <c r="D8" t="str">
        <f t="shared" si="0"/>
        <v>2000/07/07 14:30:00</v>
      </c>
      <c r="F8" s="1" t="str">
        <v>2000/07/07 14:30:00</v>
      </c>
      <c r="G8">
        <f t="shared" si="1"/>
        <v>36714</v>
      </c>
    </row>
    <row r="9" spans="1:7">
      <c r="A9" s="1">
        <v>36742</v>
      </c>
      <c r="B9">
        <v>73</v>
      </c>
      <c r="C9">
        <v>-108</v>
      </c>
      <c r="D9" t="str">
        <f t="shared" si="0"/>
        <v>2000/08/04 14:30:00</v>
      </c>
      <c r="F9" s="1" t="str">
        <v>2000/08/04 14:30:00</v>
      </c>
      <c r="G9">
        <f t="shared" si="1"/>
        <v>36742</v>
      </c>
    </row>
    <row r="10" spans="1:7">
      <c r="A10" s="1">
        <v>36770</v>
      </c>
      <c r="B10">
        <v>-23</v>
      </c>
      <c r="C10">
        <v>-105</v>
      </c>
      <c r="D10" t="str">
        <f t="shared" si="0"/>
        <v>2000/09/01 14:30:00</v>
      </c>
      <c r="F10" s="1" t="str">
        <v>2000/09/01 14:30:00</v>
      </c>
      <c r="G10">
        <f t="shared" si="1"/>
        <v>36770</v>
      </c>
    </row>
    <row r="11" spans="1:7">
      <c r="A11" s="1">
        <v>36805</v>
      </c>
      <c r="B11">
        <v>230</v>
      </c>
      <c r="C11">
        <v>252</v>
      </c>
      <c r="D11" t="str">
        <f t="shared" si="0"/>
        <v>2000/10/06 14:30:00</v>
      </c>
      <c r="F11" s="1" t="str">
        <v>2000/10/06 14:30:00</v>
      </c>
      <c r="G11">
        <f t="shared" si="1"/>
        <v>36805</v>
      </c>
    </row>
    <row r="12" spans="1:7">
      <c r="A12" s="1">
        <v>36833</v>
      </c>
      <c r="B12">
        <v>175</v>
      </c>
      <c r="C12">
        <v>137</v>
      </c>
      <c r="D12" t="str">
        <f t="shared" si="0"/>
        <v>2000/11/03 14:30:00</v>
      </c>
      <c r="F12" s="1" t="str">
        <v>2000/11/03 14:30:00</v>
      </c>
      <c r="G12">
        <f t="shared" si="1"/>
        <v>36833</v>
      </c>
    </row>
    <row r="13" spans="1:7">
      <c r="A13" s="1">
        <v>36868</v>
      </c>
      <c r="B13">
        <v>147</v>
      </c>
      <c r="C13">
        <v>94</v>
      </c>
      <c r="D13" t="str">
        <f t="shared" si="0"/>
        <v>2000/12/08 14:30:00</v>
      </c>
      <c r="F13" s="1" t="str">
        <v>2000/12/08 14:30:00</v>
      </c>
      <c r="G13">
        <f t="shared" si="1"/>
        <v>36868</v>
      </c>
    </row>
    <row r="14" spans="1:7">
      <c r="A14" s="1">
        <v>36896</v>
      </c>
      <c r="B14">
        <v>111</v>
      </c>
      <c r="C14">
        <v>105</v>
      </c>
      <c r="D14" t="str">
        <f t="shared" si="0"/>
        <v>2001/01/05 14:30:00</v>
      </c>
      <c r="F14" s="1" t="str">
        <v>2001/01/05 14:30:00</v>
      </c>
      <c r="G14">
        <f t="shared" si="1"/>
        <v>36896</v>
      </c>
    </row>
    <row r="15" spans="1:7">
      <c r="A15" s="1">
        <v>36924</v>
      </c>
      <c r="B15">
        <v>90</v>
      </c>
      <c r="C15">
        <v>268</v>
      </c>
      <c r="D15" t="str">
        <f t="shared" si="0"/>
        <v>2001/02/02 14:30:00</v>
      </c>
      <c r="F15" s="1" t="str">
        <v>2001/02/02 14:30:00</v>
      </c>
      <c r="G15">
        <f t="shared" si="1"/>
        <v>36924</v>
      </c>
    </row>
    <row r="16" spans="1:7">
      <c r="A16" s="1">
        <v>36959</v>
      </c>
      <c r="B16">
        <v>75</v>
      </c>
      <c r="C16">
        <v>135</v>
      </c>
      <c r="D16" t="str">
        <f t="shared" si="0"/>
        <v>2001/03/09 14:30:00</v>
      </c>
      <c r="F16" s="1" t="str">
        <v>2001/03/09 14:30:00</v>
      </c>
      <c r="G16">
        <f t="shared" si="1"/>
        <v>36959</v>
      </c>
    </row>
    <row r="17" spans="1:7">
      <c r="A17" s="1">
        <v>36987</v>
      </c>
      <c r="B17">
        <v>60</v>
      </c>
      <c r="C17">
        <v>-86</v>
      </c>
      <c r="D17" t="str">
        <f t="shared" si="0"/>
        <v>2001/04/06 14:30:00</v>
      </c>
      <c r="F17" t="str">
        <v>2001/04/06 14:30:00</v>
      </c>
      <c r="G17">
        <f t="shared" si="1"/>
        <v>36987</v>
      </c>
    </row>
    <row r="18" spans="1:7">
      <c r="A18" s="1">
        <v>37015</v>
      </c>
      <c r="B18">
        <v>15</v>
      </c>
      <c r="C18">
        <v>-223</v>
      </c>
      <c r="D18" t="str">
        <f t="shared" si="0"/>
        <v>2001/05/04 14:30:00</v>
      </c>
      <c r="F18" t="str">
        <v>2001/05/04 14:30:00</v>
      </c>
      <c r="G18">
        <f t="shared" si="1"/>
        <v>37015</v>
      </c>
    </row>
    <row r="19" spans="1:7">
      <c r="A19" s="1">
        <v>37043</v>
      </c>
      <c r="B19">
        <v>-50</v>
      </c>
      <c r="C19">
        <v>-19</v>
      </c>
      <c r="D19" t="str">
        <f t="shared" si="0"/>
        <v>2001/06/01 14:30:00</v>
      </c>
      <c r="F19" t="str">
        <v>2001/06/01 14:30:00</v>
      </c>
      <c r="G19">
        <f t="shared" si="1"/>
        <v>37043</v>
      </c>
    </row>
    <row r="20" spans="1:7">
      <c r="A20" s="1">
        <v>37078</v>
      </c>
      <c r="B20">
        <v>-50</v>
      </c>
      <c r="C20">
        <v>-114</v>
      </c>
      <c r="D20" t="str">
        <f t="shared" si="0"/>
        <v>2001/07/06 14:30:00</v>
      </c>
      <c r="F20" t="str">
        <v>2001/07/06 14:30:00</v>
      </c>
      <c r="G20">
        <f t="shared" si="1"/>
        <v>37078</v>
      </c>
    </row>
    <row r="21" spans="1:7">
      <c r="A21" s="1">
        <v>37106</v>
      </c>
      <c r="B21">
        <v>-50</v>
      </c>
      <c r="C21">
        <v>-42</v>
      </c>
      <c r="D21" t="str">
        <f t="shared" si="0"/>
        <v>2001/08/03 14:30:00</v>
      </c>
      <c r="F21" t="str">
        <v>2001/08/03 14:30:00</v>
      </c>
      <c r="G21">
        <f t="shared" si="1"/>
        <v>37106</v>
      </c>
    </row>
    <row r="22" spans="1:7">
      <c r="A22" s="1">
        <v>37141</v>
      </c>
      <c r="B22">
        <v>-45</v>
      </c>
      <c r="C22">
        <v>-113</v>
      </c>
      <c r="D22" t="str">
        <f t="shared" si="0"/>
        <v>2001/09/07 14:30:00</v>
      </c>
      <c r="F22" t="str">
        <v>2001/09/07 14:30:00</v>
      </c>
      <c r="G22">
        <f t="shared" si="1"/>
        <v>37141</v>
      </c>
    </row>
    <row r="23" spans="1:7">
      <c r="A23" s="1">
        <v>37169</v>
      </c>
      <c r="B23">
        <v>-100</v>
      </c>
      <c r="C23">
        <v>-199</v>
      </c>
      <c r="D23" t="str">
        <f t="shared" si="0"/>
        <v>2001/10/05 14:30:00</v>
      </c>
      <c r="F23" t="str">
        <v>2001/10/05 14:30:00</v>
      </c>
      <c r="G23">
        <f t="shared" si="1"/>
        <v>37169</v>
      </c>
    </row>
    <row r="24" spans="1:7">
      <c r="A24" s="1">
        <v>37197</v>
      </c>
      <c r="B24">
        <v>-300</v>
      </c>
      <c r="C24">
        <v>-415</v>
      </c>
      <c r="D24" t="str">
        <f t="shared" si="0"/>
        <v>2001/11/02 14:30:00</v>
      </c>
      <c r="F24" t="str">
        <v>2001/11/02 14:30:00</v>
      </c>
      <c r="G24">
        <f t="shared" si="1"/>
        <v>37197</v>
      </c>
    </row>
    <row r="25" spans="1:7">
      <c r="A25" s="1">
        <v>37232</v>
      </c>
      <c r="B25">
        <v>-200</v>
      </c>
      <c r="C25">
        <v>-331</v>
      </c>
      <c r="D25" t="str">
        <f t="shared" si="0"/>
        <v>2001/12/07 14:30:00</v>
      </c>
      <c r="F25" t="str">
        <v>2001/12/07 14:30:00</v>
      </c>
      <c r="G25">
        <f t="shared" si="1"/>
        <v>37232</v>
      </c>
    </row>
    <row r="26" spans="1:7">
      <c r="A26" s="1">
        <v>37260</v>
      </c>
      <c r="B26">
        <v>-155</v>
      </c>
      <c r="C26">
        <v>-124</v>
      </c>
      <c r="D26" t="str">
        <f t="shared" si="0"/>
        <v>2002/01/04 14:30:00</v>
      </c>
      <c r="F26" t="str">
        <v>2002/01/04 14:30:00</v>
      </c>
      <c r="G26">
        <f t="shared" si="1"/>
        <v>37260</v>
      </c>
    </row>
    <row r="27" spans="1:7">
      <c r="A27" s="1">
        <v>37288</v>
      </c>
      <c r="B27">
        <v>-50</v>
      </c>
      <c r="C27">
        <v>-89</v>
      </c>
      <c r="D27" t="str">
        <f t="shared" si="0"/>
        <v>2002/02/01 14:30:00</v>
      </c>
      <c r="F27" t="str">
        <v>2002/02/01 14:30:00</v>
      </c>
      <c r="G27">
        <f t="shared" si="1"/>
        <v>37288</v>
      </c>
    </row>
    <row r="28" spans="1:7">
      <c r="A28" s="1">
        <v>37323</v>
      </c>
      <c r="B28">
        <v>0</v>
      </c>
      <c r="C28">
        <v>66</v>
      </c>
      <c r="D28" t="str">
        <f t="shared" si="0"/>
        <v>2002/03/08 14:30:00</v>
      </c>
      <c r="F28" t="str">
        <v>2002/03/08 14:30:00</v>
      </c>
      <c r="G28">
        <f t="shared" si="1"/>
        <v>37323</v>
      </c>
    </row>
    <row r="29" spans="1:7">
      <c r="A29" s="1">
        <v>37351</v>
      </c>
      <c r="B29">
        <v>50</v>
      </c>
      <c r="C29">
        <v>58</v>
      </c>
      <c r="D29" t="str">
        <f t="shared" si="0"/>
        <v>2002/04/05 15:30:00</v>
      </c>
      <c r="F29" t="str">
        <v>2002/04/05 15:30:00</v>
      </c>
      <c r="G29">
        <f t="shared" si="1"/>
        <v>37351</v>
      </c>
    </row>
    <row r="30" spans="1:7">
      <c r="A30" s="1">
        <v>37379</v>
      </c>
      <c r="B30">
        <v>58</v>
      </c>
      <c r="C30">
        <v>43</v>
      </c>
      <c r="D30" t="str">
        <f t="shared" si="0"/>
        <v>2002/05/03 14:30:00</v>
      </c>
      <c r="F30" t="str">
        <v>2002/05/03 14:30:00</v>
      </c>
      <c r="G30">
        <f t="shared" si="1"/>
        <v>37379</v>
      </c>
    </row>
    <row r="31" spans="1:7">
      <c r="A31" s="1">
        <v>37414</v>
      </c>
      <c r="B31">
        <v>68</v>
      </c>
      <c r="C31">
        <v>41</v>
      </c>
      <c r="D31" t="str">
        <f t="shared" si="0"/>
        <v>2002/06/07 14:30:00</v>
      </c>
      <c r="F31" t="str">
        <v>2002/06/07 14:30:00</v>
      </c>
      <c r="G31">
        <f t="shared" si="1"/>
        <v>37414</v>
      </c>
    </row>
    <row r="32" spans="1:7">
      <c r="A32" s="1">
        <v>37442</v>
      </c>
      <c r="B32">
        <v>75</v>
      </c>
      <c r="C32">
        <v>36</v>
      </c>
      <c r="D32" t="str">
        <f t="shared" si="0"/>
        <v>2002/07/05 14:30:00</v>
      </c>
      <c r="F32" t="str">
        <v>2002/07/05 14:30:00</v>
      </c>
      <c r="G32">
        <f t="shared" si="1"/>
        <v>37442</v>
      </c>
    </row>
    <row r="33" spans="1:7">
      <c r="A33" s="1">
        <v>37470</v>
      </c>
      <c r="B33">
        <v>60</v>
      </c>
      <c r="C33">
        <v>6</v>
      </c>
      <c r="D33" t="str">
        <f t="shared" si="0"/>
        <v>2002/08/02 14:30:00</v>
      </c>
      <c r="F33" t="str">
        <v>2002/08/02 14:30:00</v>
      </c>
      <c r="G33">
        <f t="shared" si="1"/>
        <v>37470</v>
      </c>
    </row>
    <row r="34" spans="1:7">
      <c r="A34" s="1">
        <v>37505</v>
      </c>
      <c r="B34">
        <v>30</v>
      </c>
      <c r="C34">
        <v>39</v>
      </c>
      <c r="D34" t="str">
        <f t="shared" si="0"/>
        <v>2002/09/06 14:30:00</v>
      </c>
      <c r="F34" t="str">
        <v>2002/09/06 14:30:00</v>
      </c>
      <c r="G34">
        <f t="shared" si="1"/>
        <v>37505</v>
      </c>
    </row>
    <row r="35" spans="1:7">
      <c r="A35" s="1">
        <v>37533</v>
      </c>
      <c r="B35">
        <v>6</v>
      </c>
      <c r="C35">
        <v>-43</v>
      </c>
      <c r="D35" t="str">
        <f t="shared" si="0"/>
        <v>2002/10/04 14:30:00</v>
      </c>
      <c r="F35" t="str">
        <v>2002/10/04 14:30:00</v>
      </c>
      <c r="G35">
        <f t="shared" si="1"/>
        <v>37533</v>
      </c>
    </row>
    <row r="36" spans="1:7">
      <c r="A36" s="1">
        <v>37561</v>
      </c>
      <c r="B36">
        <v>0</v>
      </c>
      <c r="C36">
        <v>-5</v>
      </c>
      <c r="D36" t="str">
        <f t="shared" si="0"/>
        <v>2002/11/01 14:30:00</v>
      </c>
      <c r="F36" t="str">
        <v>2002/11/01 14:30:00</v>
      </c>
      <c r="G36">
        <f t="shared" si="1"/>
        <v>37561</v>
      </c>
    </row>
    <row r="37" spans="1:7">
      <c r="A37" s="1">
        <v>37596</v>
      </c>
      <c r="B37">
        <v>36</v>
      </c>
      <c r="C37">
        <v>-40</v>
      </c>
      <c r="D37" t="str">
        <f t="shared" si="0"/>
        <v>2002/12/06 14:30:00</v>
      </c>
      <c r="F37" t="str">
        <v>2002/12/06 14:30:00</v>
      </c>
      <c r="G37">
        <f t="shared" si="1"/>
        <v>37596</v>
      </c>
    </row>
    <row r="38" spans="1:7">
      <c r="A38" s="1">
        <v>37631</v>
      </c>
      <c r="B38">
        <v>20</v>
      </c>
      <c r="C38">
        <v>-101</v>
      </c>
      <c r="D38" t="str">
        <f t="shared" si="0"/>
        <v>2003/01/10 14:30:00</v>
      </c>
      <c r="F38" t="str">
        <v>2003/01/10 14:30:00</v>
      </c>
      <c r="G38">
        <f t="shared" si="1"/>
        <v>37631</v>
      </c>
    </row>
    <row r="39" spans="1:7">
      <c r="A39" s="1">
        <v>37659</v>
      </c>
      <c r="B39">
        <v>68</v>
      </c>
      <c r="C39">
        <v>143</v>
      </c>
      <c r="D39" t="str">
        <f t="shared" si="0"/>
        <v>2003/02/07 14:30:00</v>
      </c>
      <c r="F39" t="str">
        <v>2003/02/07 14:30:00</v>
      </c>
      <c r="G39">
        <f t="shared" si="1"/>
        <v>37659</v>
      </c>
    </row>
    <row r="40" spans="1:7">
      <c r="A40" s="1">
        <v>37687</v>
      </c>
      <c r="B40">
        <v>10</v>
      </c>
      <c r="C40">
        <v>-308</v>
      </c>
      <c r="D40" t="str">
        <f t="shared" si="0"/>
        <v>2003/03/07 14:30:00</v>
      </c>
      <c r="F40" t="str">
        <v>2003/03/07 14:30:00</v>
      </c>
      <c r="G40">
        <f t="shared" si="1"/>
        <v>37687</v>
      </c>
    </row>
    <row r="41" spans="1:7">
      <c r="A41" s="1">
        <v>37715</v>
      </c>
      <c r="B41">
        <v>-35</v>
      </c>
      <c r="C41">
        <v>-108</v>
      </c>
      <c r="D41" t="str">
        <f t="shared" si="0"/>
        <v>2003/04/04 15:30:00</v>
      </c>
      <c r="F41" t="str">
        <v>2003/04/04 15:30:00</v>
      </c>
      <c r="G41">
        <f t="shared" si="1"/>
        <v>37715</v>
      </c>
    </row>
    <row r="42" spans="1:7">
      <c r="A42" s="1">
        <v>37743</v>
      </c>
      <c r="B42">
        <v>-60</v>
      </c>
      <c r="C42">
        <v>-48</v>
      </c>
      <c r="D42" t="str">
        <f t="shared" si="0"/>
        <v>2003/05/02 14:30:00</v>
      </c>
      <c r="F42" t="str">
        <v>2003/05/02 14:30:00</v>
      </c>
      <c r="G42">
        <f t="shared" si="1"/>
        <v>37743</v>
      </c>
    </row>
    <row r="43" spans="1:7">
      <c r="A43" s="1">
        <v>37778</v>
      </c>
      <c r="B43">
        <v>-30</v>
      </c>
      <c r="C43">
        <v>-17</v>
      </c>
      <c r="D43" t="str">
        <f t="shared" si="0"/>
        <v>2003/06/06 14:30:00</v>
      </c>
      <c r="F43" t="str">
        <v>2003/06/06 14:30:00</v>
      </c>
      <c r="G43">
        <f t="shared" si="1"/>
        <v>37778</v>
      </c>
    </row>
    <row r="44" spans="1:7">
      <c r="A44" s="1">
        <v>37805</v>
      </c>
      <c r="B44">
        <v>0</v>
      </c>
      <c r="C44">
        <v>-30</v>
      </c>
      <c r="D44" t="str">
        <f t="shared" si="0"/>
        <v>2003/07/03 14:30:00</v>
      </c>
      <c r="F44" t="str">
        <v>2003/07/03 14:30:00</v>
      </c>
      <c r="G44">
        <f t="shared" si="1"/>
        <v>37805</v>
      </c>
    </row>
    <row r="45" spans="1:7">
      <c r="A45" s="1">
        <v>37834</v>
      </c>
      <c r="B45">
        <v>10</v>
      </c>
      <c r="C45">
        <v>-44</v>
      </c>
      <c r="D45" t="str">
        <f t="shared" si="0"/>
        <v>2003/08/01 14:30:00</v>
      </c>
      <c r="F45" t="str">
        <v>2003/08/01 14:30:00</v>
      </c>
      <c r="G45">
        <f t="shared" si="1"/>
        <v>37834</v>
      </c>
    </row>
    <row r="46" spans="1:7">
      <c r="A46" s="1">
        <v>37869</v>
      </c>
      <c r="B46">
        <v>20</v>
      </c>
      <c r="C46">
        <v>-93</v>
      </c>
      <c r="D46" t="str">
        <f t="shared" si="0"/>
        <v>2003/09/05 14:30:00</v>
      </c>
      <c r="F46" t="str">
        <v>2003/09/05 14:30:00</v>
      </c>
      <c r="G46">
        <f t="shared" si="1"/>
        <v>37869</v>
      </c>
    </row>
    <row r="47" spans="1:7">
      <c r="A47" s="1">
        <v>37897</v>
      </c>
      <c r="B47">
        <v>-25</v>
      </c>
      <c r="C47">
        <v>57</v>
      </c>
      <c r="D47" t="str">
        <f t="shared" si="0"/>
        <v>2003/10/03 14:30:00</v>
      </c>
      <c r="F47" t="str">
        <v>2003/10/03 14:30:00</v>
      </c>
      <c r="G47">
        <f t="shared" si="1"/>
        <v>37897</v>
      </c>
    </row>
    <row r="48" spans="1:7">
      <c r="A48" s="1">
        <v>37932</v>
      </c>
      <c r="B48">
        <v>65</v>
      </c>
      <c r="C48">
        <v>126</v>
      </c>
      <c r="D48" t="str">
        <f t="shared" si="0"/>
        <v>2003/11/07 14:30:00</v>
      </c>
      <c r="F48" t="str">
        <v>2003/11/07 14:30:00</v>
      </c>
      <c r="G48">
        <f t="shared" si="1"/>
        <v>37932</v>
      </c>
    </row>
    <row r="49" spans="1:7">
      <c r="A49" s="1">
        <v>37960</v>
      </c>
      <c r="B49">
        <v>150</v>
      </c>
      <c r="C49">
        <v>57</v>
      </c>
      <c r="D49" t="str">
        <f t="shared" si="0"/>
        <v>2003/12/05 14:30:00</v>
      </c>
      <c r="F49" t="str">
        <v>2003/12/05 14:30:00</v>
      </c>
      <c r="G49">
        <f t="shared" si="1"/>
        <v>37960</v>
      </c>
    </row>
    <row r="50" spans="1:7">
      <c r="A50" s="1">
        <v>37995</v>
      </c>
      <c r="B50">
        <v>150</v>
      </c>
      <c r="C50">
        <v>1</v>
      </c>
      <c r="D50" t="str">
        <f t="shared" si="0"/>
        <v>2004/01/09 14:30:00</v>
      </c>
      <c r="F50" t="str">
        <v>2004/01/09 14:30:00</v>
      </c>
      <c r="G50">
        <f t="shared" si="1"/>
        <v>37995</v>
      </c>
    </row>
    <row r="51" spans="1:7">
      <c r="A51" s="1">
        <v>38023</v>
      </c>
      <c r="B51">
        <v>175</v>
      </c>
      <c r="C51">
        <v>112</v>
      </c>
      <c r="D51" t="str">
        <f t="shared" si="0"/>
        <v>2004/02/06 14:30:00</v>
      </c>
      <c r="F51" t="str">
        <v>2004/02/06 14:30:00</v>
      </c>
      <c r="G51">
        <f t="shared" si="1"/>
        <v>38023</v>
      </c>
    </row>
    <row r="52" spans="1:7">
      <c r="A52" s="1">
        <v>38051</v>
      </c>
      <c r="B52">
        <v>130</v>
      </c>
      <c r="C52">
        <v>21</v>
      </c>
      <c r="D52" t="str">
        <f t="shared" si="0"/>
        <v>2004/03/05 14:30:00</v>
      </c>
      <c r="F52" t="str">
        <v>2004/03/05 14:30:00</v>
      </c>
      <c r="G52">
        <f t="shared" si="1"/>
        <v>38051</v>
      </c>
    </row>
    <row r="53" spans="1:7">
      <c r="A53" s="1">
        <v>38079</v>
      </c>
      <c r="B53">
        <v>120</v>
      </c>
      <c r="C53">
        <v>308</v>
      </c>
      <c r="D53" t="str">
        <f t="shared" si="0"/>
        <v>2004/04/02 15:30:00</v>
      </c>
      <c r="F53" t="str">
        <v>2004/04/02 15:30:00</v>
      </c>
      <c r="G53">
        <f t="shared" si="1"/>
        <v>38079</v>
      </c>
    </row>
    <row r="54" spans="1:7">
      <c r="A54" s="1">
        <v>38114</v>
      </c>
      <c r="B54">
        <v>170</v>
      </c>
      <c r="C54">
        <v>288</v>
      </c>
      <c r="D54" t="str">
        <f t="shared" si="0"/>
        <v>2004/05/07 14:30:00</v>
      </c>
      <c r="F54" t="str">
        <v>2004/05/07 14:30:00</v>
      </c>
      <c r="G54">
        <f t="shared" si="1"/>
        <v>38114</v>
      </c>
    </row>
    <row r="55" spans="1:7">
      <c r="A55" s="1">
        <v>38142</v>
      </c>
      <c r="B55">
        <v>225</v>
      </c>
      <c r="C55">
        <v>248</v>
      </c>
      <c r="D55" t="str">
        <f t="shared" si="0"/>
        <v>2004/06/04 14:30:00</v>
      </c>
      <c r="F55" t="str">
        <v>2004/06/04 14:30:00</v>
      </c>
      <c r="G55">
        <f t="shared" si="1"/>
        <v>38142</v>
      </c>
    </row>
    <row r="56" spans="1:7">
      <c r="A56" s="1">
        <v>38170</v>
      </c>
      <c r="B56">
        <v>250</v>
      </c>
      <c r="C56">
        <v>112</v>
      </c>
      <c r="D56" t="str">
        <f t="shared" si="0"/>
        <v>2004/07/02 14:30:00</v>
      </c>
      <c r="F56" t="str">
        <v>2004/07/02 14:30:00</v>
      </c>
      <c r="G56">
        <f t="shared" si="1"/>
        <v>38170</v>
      </c>
    </row>
    <row r="57" spans="1:7">
      <c r="A57" s="1">
        <v>38205</v>
      </c>
      <c r="B57">
        <v>240</v>
      </c>
      <c r="C57">
        <v>32</v>
      </c>
      <c r="D57" t="str">
        <f t="shared" si="0"/>
        <v>2004/08/06 14:30:00</v>
      </c>
      <c r="F57" t="str">
        <v>2004/08/06 14:30:00</v>
      </c>
      <c r="G57">
        <f t="shared" si="1"/>
        <v>38205</v>
      </c>
    </row>
    <row r="58" spans="1:7">
      <c r="A58" s="1">
        <v>38233</v>
      </c>
      <c r="B58">
        <v>150</v>
      </c>
      <c r="C58">
        <v>144</v>
      </c>
      <c r="D58" t="str">
        <f t="shared" si="0"/>
        <v>2004/09/03 14:30:00</v>
      </c>
      <c r="F58" t="str">
        <v>2004/09/03 14:30:00</v>
      </c>
      <c r="G58">
        <f t="shared" si="1"/>
        <v>38233</v>
      </c>
    </row>
    <row r="59" spans="1:7">
      <c r="A59" s="1">
        <v>38268</v>
      </c>
      <c r="B59">
        <v>148</v>
      </c>
      <c r="C59">
        <v>96</v>
      </c>
      <c r="D59" t="str">
        <f t="shared" si="0"/>
        <v>2004/10/08 14:30:00</v>
      </c>
      <c r="F59" t="str">
        <v>2004/10/08 14:30:00</v>
      </c>
      <c r="G59">
        <f t="shared" si="1"/>
        <v>38268</v>
      </c>
    </row>
    <row r="60" spans="1:7">
      <c r="A60" s="1">
        <v>38296</v>
      </c>
      <c r="B60">
        <v>175</v>
      </c>
      <c r="C60">
        <v>337</v>
      </c>
      <c r="D60" t="str">
        <f t="shared" si="0"/>
        <v>2004/11/05 14:30:00</v>
      </c>
      <c r="F60" t="str">
        <v>2004/11/05 14:30:00</v>
      </c>
      <c r="G60">
        <f t="shared" si="1"/>
        <v>38296</v>
      </c>
    </row>
    <row r="61" spans="1:7">
      <c r="A61" s="1">
        <v>38324</v>
      </c>
      <c r="B61">
        <v>200</v>
      </c>
      <c r="C61">
        <v>112</v>
      </c>
      <c r="D61" t="str">
        <f t="shared" si="0"/>
        <v>2004/12/03 14:30:00</v>
      </c>
      <c r="F61" t="str">
        <v>2004/12/03 14:30:00</v>
      </c>
      <c r="G61">
        <f t="shared" si="1"/>
        <v>38324</v>
      </c>
    </row>
    <row r="62" spans="1:7">
      <c r="A62" s="1">
        <v>38359</v>
      </c>
      <c r="B62">
        <v>175</v>
      </c>
      <c r="C62">
        <v>157</v>
      </c>
      <c r="D62" t="str">
        <f t="shared" si="0"/>
        <v>2005/01/07 14:30:00</v>
      </c>
      <c r="F62" t="str">
        <v>2005/01/07 14:30:00</v>
      </c>
      <c r="G62">
        <f t="shared" si="1"/>
        <v>38359</v>
      </c>
    </row>
    <row r="63" spans="1:7">
      <c r="A63" s="1">
        <v>38387</v>
      </c>
      <c r="B63">
        <v>200</v>
      </c>
      <c r="C63">
        <v>146</v>
      </c>
      <c r="D63" t="str">
        <f t="shared" si="0"/>
        <v>2005/02/04 14:30:00</v>
      </c>
      <c r="F63" t="str">
        <v>2005/02/04 14:30:00</v>
      </c>
      <c r="G63">
        <f t="shared" si="1"/>
        <v>38387</v>
      </c>
    </row>
    <row r="64" spans="1:7">
      <c r="A64" s="1">
        <v>38415</v>
      </c>
      <c r="B64">
        <v>225</v>
      </c>
      <c r="C64">
        <v>262</v>
      </c>
      <c r="D64" t="str">
        <f t="shared" si="0"/>
        <v>2005/03/04 14:30:00</v>
      </c>
      <c r="F64" t="str">
        <v>2005/03/04 14:30:00</v>
      </c>
      <c r="G64">
        <f t="shared" si="1"/>
        <v>38415</v>
      </c>
    </row>
    <row r="65" spans="1:7">
      <c r="A65" s="1">
        <v>38443</v>
      </c>
      <c r="B65">
        <v>213</v>
      </c>
      <c r="C65">
        <v>110</v>
      </c>
      <c r="D65" t="str">
        <f t="shared" si="0"/>
        <v>2005/04/01 15:30:00</v>
      </c>
      <c r="F65" t="str">
        <v>2005/04/01 15:30:00</v>
      </c>
      <c r="G65">
        <f t="shared" si="1"/>
        <v>38443</v>
      </c>
    </row>
    <row r="66" spans="1:7">
      <c r="A66" s="1">
        <v>38478</v>
      </c>
      <c r="B66">
        <v>174</v>
      </c>
      <c r="C66">
        <v>274</v>
      </c>
      <c r="D66" t="str">
        <f t="shared" si="0"/>
        <v>2005/05/06 14:30:00</v>
      </c>
      <c r="F66" t="str">
        <v>2005/05/06 14:30:00</v>
      </c>
      <c r="G66">
        <f t="shared" si="1"/>
        <v>38478</v>
      </c>
    </row>
    <row r="67" spans="1:7">
      <c r="A67" s="1">
        <v>38506</v>
      </c>
      <c r="B67">
        <v>175</v>
      </c>
      <c r="C67">
        <v>78</v>
      </c>
      <c r="D67" t="str">
        <f t="shared" ref="D67:D130" si="2">_xlfn.XLOOKUP(A67,$G:$G,$F:$F,"")</f>
        <v>2005/06/03 14:30:00</v>
      </c>
      <c r="F67" t="str">
        <v>2005/06/03 14:30:00</v>
      </c>
      <c r="G67">
        <f t="shared" ref="G67:G130" si="3">INT(F67)</f>
        <v>38506</v>
      </c>
    </row>
    <row r="68" spans="1:7">
      <c r="A68" s="1">
        <v>38541</v>
      </c>
      <c r="B68">
        <v>200</v>
      </c>
      <c r="C68">
        <v>146</v>
      </c>
      <c r="D68" t="str">
        <f t="shared" si="2"/>
        <v>2005/07/08 14:30:00</v>
      </c>
      <c r="F68" t="str">
        <v>2005/07/08 14:30:00</v>
      </c>
      <c r="G68">
        <f t="shared" si="3"/>
        <v>38541</v>
      </c>
    </row>
    <row r="69" spans="1:7">
      <c r="A69" s="1">
        <v>38569</v>
      </c>
      <c r="B69">
        <v>180</v>
      </c>
      <c r="C69">
        <v>207</v>
      </c>
      <c r="D69" t="str">
        <f t="shared" si="2"/>
        <v>2005/08/05 14:30:00</v>
      </c>
      <c r="F69" t="str">
        <v>2005/08/05 14:30:00</v>
      </c>
      <c r="G69">
        <f t="shared" si="3"/>
        <v>38569</v>
      </c>
    </row>
    <row r="70" spans="1:7">
      <c r="A70" s="1">
        <v>38597</v>
      </c>
      <c r="B70">
        <v>190</v>
      </c>
      <c r="C70">
        <v>169</v>
      </c>
      <c r="D70" t="str">
        <f t="shared" si="2"/>
        <v>2005/09/02 14:30:00</v>
      </c>
      <c r="F70" t="str">
        <v>2005/09/02 14:30:00</v>
      </c>
      <c r="G70">
        <f t="shared" si="3"/>
        <v>38597</v>
      </c>
    </row>
    <row r="71" spans="1:7">
      <c r="A71" s="1">
        <v>38632</v>
      </c>
      <c r="B71">
        <v>-150</v>
      </c>
      <c r="C71">
        <v>-35</v>
      </c>
      <c r="D71" t="str">
        <f t="shared" si="2"/>
        <v>2005/10/07 14:30:00</v>
      </c>
      <c r="F71" t="str">
        <v>2005/10/07 14:30:00</v>
      </c>
      <c r="G71">
        <f t="shared" si="3"/>
        <v>38632</v>
      </c>
    </row>
    <row r="72" spans="1:7">
      <c r="A72" s="1">
        <v>38660</v>
      </c>
      <c r="B72">
        <v>120</v>
      </c>
      <c r="C72">
        <v>56</v>
      </c>
      <c r="D72" t="str">
        <f t="shared" si="2"/>
        <v>2005/11/04 14:30:00</v>
      </c>
      <c r="F72" t="str">
        <v>2005/11/04 14:30:00</v>
      </c>
      <c r="G72">
        <f t="shared" si="3"/>
        <v>38660</v>
      </c>
    </row>
    <row r="73" spans="1:7">
      <c r="A73" s="1">
        <v>38688</v>
      </c>
      <c r="B73">
        <v>210</v>
      </c>
      <c r="C73">
        <v>215</v>
      </c>
      <c r="D73" t="str">
        <f t="shared" si="2"/>
        <v>2005/12/02 14:30:00</v>
      </c>
      <c r="F73" t="str">
        <v>2005/12/02 14:30:00</v>
      </c>
      <c r="G73">
        <f t="shared" si="3"/>
        <v>38688</v>
      </c>
    </row>
    <row r="74" spans="1:7">
      <c r="A74" s="1">
        <v>38723</v>
      </c>
      <c r="B74">
        <v>200</v>
      </c>
      <c r="C74">
        <v>108</v>
      </c>
      <c r="D74" t="str">
        <f t="shared" si="2"/>
        <v>2006/01/06 14:30:00</v>
      </c>
      <c r="F74" t="str">
        <v>2006/01/06 14:30:00</v>
      </c>
      <c r="G74">
        <f t="shared" si="3"/>
        <v>38723</v>
      </c>
    </row>
    <row r="75" spans="1:7">
      <c r="A75" s="1">
        <v>38751</v>
      </c>
      <c r="B75">
        <v>250</v>
      </c>
      <c r="C75">
        <v>193</v>
      </c>
      <c r="D75" t="str">
        <f t="shared" si="2"/>
        <v>2006/02/03 14:30:00</v>
      </c>
      <c r="F75" t="str">
        <v>2006/02/03 14:30:00</v>
      </c>
      <c r="G75">
        <f t="shared" si="3"/>
        <v>38751</v>
      </c>
    </row>
    <row r="76" spans="1:7">
      <c r="A76" s="1">
        <v>38786</v>
      </c>
      <c r="B76">
        <v>210</v>
      </c>
      <c r="C76">
        <v>243</v>
      </c>
      <c r="D76" t="str">
        <f t="shared" si="2"/>
        <v>2006/03/10 14:30:00</v>
      </c>
      <c r="F76" t="str">
        <v>2006/03/10 14:30:00</v>
      </c>
      <c r="G76">
        <f t="shared" si="3"/>
        <v>38786</v>
      </c>
    </row>
    <row r="77" spans="1:7">
      <c r="A77" s="1">
        <v>38814</v>
      </c>
      <c r="B77">
        <v>190</v>
      </c>
      <c r="C77">
        <v>211</v>
      </c>
      <c r="D77" t="str">
        <f t="shared" si="2"/>
        <v>2006/04/07 14:30:00</v>
      </c>
      <c r="F77" t="str">
        <v>2006/04/07 14:30:00</v>
      </c>
      <c r="G77">
        <f t="shared" si="3"/>
        <v>38814</v>
      </c>
    </row>
    <row r="78" spans="1:7">
      <c r="A78" s="1">
        <v>38842</v>
      </c>
      <c r="B78">
        <v>200</v>
      </c>
      <c r="C78">
        <v>138</v>
      </c>
      <c r="D78" t="str">
        <f t="shared" si="2"/>
        <v>2006/05/05 14:30:00</v>
      </c>
      <c r="F78" t="str">
        <v>2006/05/05 14:30:00</v>
      </c>
      <c r="G78">
        <f t="shared" si="3"/>
        <v>38842</v>
      </c>
    </row>
    <row r="79" spans="1:7">
      <c r="A79" s="1">
        <v>38870</v>
      </c>
      <c r="B79">
        <v>170</v>
      </c>
      <c r="C79">
        <v>75</v>
      </c>
      <c r="D79" t="str">
        <f t="shared" si="2"/>
        <v>2006/06/02 14:30:00</v>
      </c>
      <c r="F79" t="str">
        <v>2006/06/02 14:30:00</v>
      </c>
      <c r="G79">
        <f t="shared" si="3"/>
        <v>38870</v>
      </c>
    </row>
    <row r="80" spans="1:7">
      <c r="A80" s="1">
        <v>38905</v>
      </c>
      <c r="B80">
        <v>175</v>
      </c>
      <c r="C80">
        <v>121</v>
      </c>
      <c r="D80" t="str">
        <f t="shared" si="2"/>
        <v>2006/07/07 14:30:00</v>
      </c>
      <c r="F80" t="str">
        <v>2006/07/07 14:30:00</v>
      </c>
      <c r="G80">
        <f t="shared" si="3"/>
        <v>38905</v>
      </c>
    </row>
    <row r="81" spans="1:7">
      <c r="A81" s="1">
        <v>38933</v>
      </c>
      <c r="B81">
        <v>141</v>
      </c>
      <c r="C81">
        <v>113</v>
      </c>
      <c r="D81" t="str">
        <f t="shared" si="2"/>
        <v>2006/08/04 14:30:00</v>
      </c>
      <c r="F81" t="str">
        <v>2006/08/04 14:30:00</v>
      </c>
      <c r="G81">
        <f t="shared" si="3"/>
        <v>38933</v>
      </c>
    </row>
    <row r="82" spans="1:7">
      <c r="A82" s="1">
        <v>38961</v>
      </c>
      <c r="B82">
        <v>125</v>
      </c>
      <c r="C82">
        <v>128</v>
      </c>
      <c r="D82" t="str">
        <f t="shared" si="2"/>
        <v>2006/09/01 14:30:00</v>
      </c>
      <c r="F82" t="str">
        <v>2006/09/01 14:30:00</v>
      </c>
      <c r="G82">
        <f t="shared" si="3"/>
        <v>38961</v>
      </c>
    </row>
    <row r="83" spans="1:7">
      <c r="A83" s="1">
        <v>38996</v>
      </c>
      <c r="B83">
        <v>120</v>
      </c>
      <c r="C83">
        <v>51</v>
      </c>
      <c r="D83" t="str">
        <f t="shared" si="2"/>
        <v>2006/10/06 14:30:00</v>
      </c>
      <c r="F83" t="str">
        <v>2006/10/06 14:30:00</v>
      </c>
      <c r="G83">
        <f t="shared" si="3"/>
        <v>38996</v>
      </c>
    </row>
    <row r="84" spans="1:7">
      <c r="A84" s="1">
        <v>39024</v>
      </c>
      <c r="B84">
        <v>123</v>
      </c>
      <c r="C84">
        <v>92</v>
      </c>
      <c r="D84" t="str">
        <f t="shared" si="2"/>
        <v>2006/11/03 14:30:00</v>
      </c>
      <c r="F84" t="str">
        <v>2006/11/03 14:30:00</v>
      </c>
      <c r="G84">
        <f t="shared" si="3"/>
        <v>39024</v>
      </c>
    </row>
    <row r="85" spans="1:7">
      <c r="A85" s="1">
        <v>39059</v>
      </c>
      <c r="B85">
        <v>100</v>
      </c>
      <c r="C85">
        <v>132</v>
      </c>
      <c r="D85" t="str">
        <f t="shared" si="2"/>
        <v>2006/12/08 14:30:00</v>
      </c>
      <c r="F85" t="str">
        <v>2006/12/08 14:30:00</v>
      </c>
      <c r="G85">
        <f t="shared" si="3"/>
        <v>39059</v>
      </c>
    </row>
    <row r="86" spans="1:7">
      <c r="A86" s="1">
        <v>39087</v>
      </c>
      <c r="B86">
        <v>100</v>
      </c>
      <c r="C86">
        <v>167</v>
      </c>
      <c r="D86" t="str">
        <f t="shared" si="2"/>
        <v>2007/01/05 14:30:00</v>
      </c>
      <c r="F86" t="str">
        <v>2007/01/05 14:30:00</v>
      </c>
      <c r="G86">
        <f t="shared" si="3"/>
        <v>39087</v>
      </c>
    </row>
    <row r="87" spans="1:7">
      <c r="A87" s="1">
        <v>39115</v>
      </c>
      <c r="B87">
        <v>150</v>
      </c>
      <c r="C87">
        <v>111</v>
      </c>
      <c r="D87" t="str">
        <f t="shared" si="2"/>
        <v>2007/02/02 14:30:00</v>
      </c>
      <c r="F87" t="str">
        <v>2007/02/02 14:30:00</v>
      </c>
      <c r="G87">
        <f t="shared" si="3"/>
        <v>39115</v>
      </c>
    </row>
    <row r="88" spans="1:7">
      <c r="A88" s="1">
        <v>39150</v>
      </c>
      <c r="B88">
        <v>95</v>
      </c>
      <c r="C88">
        <v>97</v>
      </c>
      <c r="D88" t="str">
        <f t="shared" si="2"/>
        <v>2007/03/09 14:30:00</v>
      </c>
      <c r="F88" t="str">
        <v>2007/03/09 14:30:00</v>
      </c>
      <c r="G88">
        <f t="shared" si="3"/>
        <v>39150</v>
      </c>
    </row>
    <row r="89" spans="1:7">
      <c r="A89" s="1">
        <v>39178</v>
      </c>
      <c r="B89">
        <v>130</v>
      </c>
      <c r="C89">
        <v>180</v>
      </c>
      <c r="D89" t="str">
        <f t="shared" si="2"/>
        <v>2007/04/06 14:30:00</v>
      </c>
      <c r="F89" t="str">
        <v>2007/04/06 14:30:00</v>
      </c>
      <c r="G89">
        <f t="shared" si="3"/>
        <v>39178</v>
      </c>
    </row>
    <row r="90" spans="1:7">
      <c r="A90" s="1">
        <v>39206</v>
      </c>
      <c r="B90">
        <v>100</v>
      </c>
      <c r="C90">
        <v>88</v>
      </c>
      <c r="D90" t="str">
        <f t="shared" si="2"/>
        <v>2007/05/04 14:30:00</v>
      </c>
      <c r="F90" t="str">
        <v>2007/05/04 14:30:00</v>
      </c>
      <c r="G90">
        <f t="shared" si="3"/>
        <v>39206</v>
      </c>
    </row>
    <row r="91" spans="1:7">
      <c r="A91" s="1">
        <v>39234</v>
      </c>
      <c r="B91">
        <v>132</v>
      </c>
      <c r="C91">
        <v>157</v>
      </c>
      <c r="D91" t="str">
        <f t="shared" si="2"/>
        <v>2007/06/01 14:30:00</v>
      </c>
      <c r="F91" t="str">
        <v>2007/06/01 14:30:00</v>
      </c>
      <c r="G91">
        <f t="shared" si="3"/>
        <v>39234</v>
      </c>
    </row>
    <row r="92" spans="1:7">
      <c r="A92" s="1">
        <v>39269</v>
      </c>
      <c r="B92">
        <v>125</v>
      </c>
      <c r="C92">
        <v>132</v>
      </c>
      <c r="D92" t="str">
        <f t="shared" si="2"/>
        <v>2007/07/06 14:30:00</v>
      </c>
      <c r="F92" t="str">
        <v>2007/07/06 14:30:00</v>
      </c>
      <c r="G92">
        <f t="shared" si="3"/>
        <v>39269</v>
      </c>
    </row>
    <row r="93" spans="1:7">
      <c r="A93" s="1">
        <v>39297</v>
      </c>
      <c r="B93">
        <v>127</v>
      </c>
      <c r="C93">
        <v>92</v>
      </c>
      <c r="D93" t="str">
        <f t="shared" si="2"/>
        <v>2007/08/03 14:30:00</v>
      </c>
      <c r="F93" t="str">
        <v>2007/08/03 14:30:00</v>
      </c>
      <c r="G93">
        <f t="shared" si="3"/>
        <v>39297</v>
      </c>
    </row>
    <row r="94" spans="1:7">
      <c r="A94" s="1">
        <v>39332</v>
      </c>
      <c r="B94">
        <v>100</v>
      </c>
      <c r="C94">
        <v>-4</v>
      </c>
      <c r="D94" t="str">
        <f t="shared" si="2"/>
        <v>2007/09/07 14:30:00</v>
      </c>
      <c r="F94" t="str">
        <v>2007/09/07 14:30:00</v>
      </c>
      <c r="G94">
        <f t="shared" si="3"/>
        <v>39332</v>
      </c>
    </row>
    <row r="95" spans="1:7">
      <c r="A95" s="1">
        <v>39360</v>
      </c>
      <c r="B95">
        <v>100</v>
      </c>
      <c r="C95">
        <v>110</v>
      </c>
      <c r="D95" t="str">
        <f t="shared" si="2"/>
        <v>2007/10/05 14:30:00</v>
      </c>
      <c r="F95" t="str">
        <v>2007/10/05 14:30:00</v>
      </c>
      <c r="G95">
        <f t="shared" si="3"/>
        <v>39360</v>
      </c>
    </row>
    <row r="96" spans="1:7">
      <c r="A96" s="1">
        <v>39388</v>
      </c>
      <c r="B96">
        <v>85</v>
      </c>
      <c r="C96">
        <v>166</v>
      </c>
      <c r="D96" t="str">
        <f t="shared" si="2"/>
        <v>2007/11/02 13:30:00</v>
      </c>
      <c r="F96" t="str">
        <v>2007/11/02 13:30:00</v>
      </c>
      <c r="G96">
        <f t="shared" si="3"/>
        <v>39388</v>
      </c>
    </row>
    <row r="97" spans="1:7">
      <c r="A97" s="1">
        <v>39423</v>
      </c>
      <c r="B97">
        <v>80</v>
      </c>
      <c r="C97">
        <v>94</v>
      </c>
      <c r="D97" t="str">
        <f t="shared" si="2"/>
        <v>2007/12/07 14:30:00</v>
      </c>
      <c r="F97" t="str">
        <v>2007/12/07 14:30:00</v>
      </c>
      <c r="G97">
        <f t="shared" si="3"/>
        <v>39423</v>
      </c>
    </row>
    <row r="98" spans="1:7">
      <c r="A98" s="1">
        <v>39451</v>
      </c>
      <c r="B98">
        <v>70</v>
      </c>
      <c r="C98">
        <v>18</v>
      </c>
      <c r="D98" t="str">
        <f t="shared" si="2"/>
        <v>2008/01/04 14:30:00</v>
      </c>
      <c r="F98" t="str">
        <v>2008/01/04 14:30:00</v>
      </c>
      <c r="G98">
        <f t="shared" si="3"/>
        <v>39451</v>
      </c>
    </row>
    <row r="99" spans="1:7">
      <c r="A99" s="1">
        <v>39479</v>
      </c>
      <c r="B99">
        <v>70</v>
      </c>
      <c r="C99">
        <v>-17</v>
      </c>
      <c r="D99" t="str">
        <f t="shared" si="2"/>
        <v>2008/02/01 14:30:00</v>
      </c>
      <c r="F99" t="str">
        <v>2008/02/01 14:30:00</v>
      </c>
      <c r="G99">
        <f t="shared" si="3"/>
        <v>39479</v>
      </c>
    </row>
    <row r="100" spans="1:7">
      <c r="A100" s="1">
        <v>39514</v>
      </c>
      <c r="B100">
        <v>20</v>
      </c>
      <c r="C100">
        <v>-63</v>
      </c>
      <c r="D100" t="str">
        <f t="shared" si="2"/>
        <v>2008/03/07 14:30:00</v>
      </c>
      <c r="F100" t="str">
        <v>2008/03/07 14:30:00</v>
      </c>
      <c r="G100">
        <f t="shared" si="3"/>
        <v>39514</v>
      </c>
    </row>
    <row r="101" spans="1:7">
      <c r="A101" s="1">
        <v>39542</v>
      </c>
      <c r="B101">
        <v>-50</v>
      </c>
      <c r="C101">
        <v>-80</v>
      </c>
      <c r="D101" t="str">
        <f t="shared" si="2"/>
        <v>2008/04/04 14:30:00</v>
      </c>
      <c r="F101" t="str">
        <v>2008/04/04 14:30:00</v>
      </c>
      <c r="G101">
        <f t="shared" si="3"/>
        <v>39542</v>
      </c>
    </row>
    <row r="102" spans="1:7">
      <c r="A102" s="1">
        <v>39570</v>
      </c>
      <c r="B102">
        <v>-75</v>
      </c>
      <c r="C102">
        <v>-20</v>
      </c>
      <c r="D102" t="str">
        <f t="shared" si="2"/>
        <v>2008/05/02 14:30:00</v>
      </c>
      <c r="F102" t="str">
        <v>2008/05/02 14:30:00</v>
      </c>
      <c r="G102">
        <f t="shared" si="3"/>
        <v>39570</v>
      </c>
    </row>
    <row r="103" spans="1:7">
      <c r="A103" s="1">
        <v>39605</v>
      </c>
      <c r="B103">
        <v>-60</v>
      </c>
      <c r="C103">
        <v>-49</v>
      </c>
      <c r="D103" t="str">
        <f t="shared" si="2"/>
        <v>2008/06/06 14:30:00</v>
      </c>
      <c r="F103" t="str">
        <v>2008/06/06 14:30:00</v>
      </c>
      <c r="G103">
        <f t="shared" si="3"/>
        <v>39605</v>
      </c>
    </row>
    <row r="104" spans="1:7">
      <c r="A104" s="1">
        <v>39632</v>
      </c>
      <c r="B104">
        <v>-60</v>
      </c>
      <c r="C104">
        <v>-62</v>
      </c>
      <c r="D104" t="str">
        <f t="shared" si="2"/>
        <v>2008/07/03 14:30:00</v>
      </c>
      <c r="F104" t="str">
        <v>2008/07/03 14:30:00</v>
      </c>
      <c r="G104">
        <f t="shared" si="3"/>
        <v>39632</v>
      </c>
    </row>
    <row r="105" spans="1:7">
      <c r="A105" s="1">
        <v>39661</v>
      </c>
      <c r="B105">
        <v>-75</v>
      </c>
      <c r="C105">
        <v>-51</v>
      </c>
      <c r="D105" t="str">
        <f t="shared" si="2"/>
        <v>2008/08/01 14:30:00</v>
      </c>
      <c r="F105" t="str">
        <v>2008/08/01 14:30:00</v>
      </c>
      <c r="G105">
        <f t="shared" si="3"/>
        <v>39661</v>
      </c>
    </row>
    <row r="106" spans="1:7">
      <c r="A106" s="1">
        <v>39696</v>
      </c>
      <c r="B106">
        <v>-75</v>
      </c>
      <c r="C106">
        <v>-84</v>
      </c>
      <c r="D106" t="str">
        <f t="shared" si="2"/>
        <v>2008/09/05 14:30:00</v>
      </c>
      <c r="F106" t="str">
        <v>2008/09/05 14:30:00</v>
      </c>
      <c r="G106">
        <f t="shared" si="3"/>
        <v>39696</v>
      </c>
    </row>
    <row r="107" spans="1:7">
      <c r="A107" s="1">
        <v>39724</v>
      </c>
      <c r="B107">
        <v>-105</v>
      </c>
      <c r="C107">
        <v>-159</v>
      </c>
      <c r="D107" t="str">
        <f t="shared" si="2"/>
        <v>2008/10/03 14:30:00</v>
      </c>
      <c r="F107" t="str">
        <v>2008/10/03 14:30:00</v>
      </c>
      <c r="G107">
        <f t="shared" si="3"/>
        <v>39724</v>
      </c>
    </row>
    <row r="108" spans="1:7">
      <c r="A108" s="1">
        <v>39759</v>
      </c>
      <c r="B108">
        <v>-200</v>
      </c>
      <c r="C108">
        <v>-240</v>
      </c>
      <c r="D108" t="str">
        <f t="shared" si="2"/>
        <v>2008/11/07 14:30:00</v>
      </c>
      <c r="F108" t="str">
        <v>2008/11/07 14:30:00</v>
      </c>
      <c r="G108">
        <f t="shared" si="3"/>
        <v>39759</v>
      </c>
    </row>
    <row r="109" spans="1:7">
      <c r="A109" s="1">
        <v>39787</v>
      </c>
      <c r="B109">
        <v>-335</v>
      </c>
      <c r="C109">
        <v>-533</v>
      </c>
      <c r="D109" t="str">
        <f t="shared" si="2"/>
        <v>2008/12/05 14:30:00</v>
      </c>
      <c r="F109" t="str">
        <v>2008/12/05 14:30:00</v>
      </c>
      <c r="G109">
        <f t="shared" si="3"/>
        <v>39787</v>
      </c>
    </row>
    <row r="110" spans="1:7">
      <c r="A110" s="1">
        <v>39822</v>
      </c>
      <c r="B110">
        <v>-525</v>
      </c>
      <c r="C110">
        <v>-524</v>
      </c>
      <c r="D110" t="str">
        <f t="shared" si="2"/>
        <v>2009/01/09 14:30:00</v>
      </c>
      <c r="F110" t="str">
        <v>2009/01/09 14:30:00</v>
      </c>
      <c r="G110">
        <f t="shared" si="3"/>
        <v>39822</v>
      </c>
    </row>
    <row r="111" spans="1:7">
      <c r="A111" s="1">
        <v>39850</v>
      </c>
      <c r="B111">
        <v>-540</v>
      </c>
      <c r="C111">
        <v>-598</v>
      </c>
      <c r="D111" t="str">
        <f t="shared" si="2"/>
        <v>2009/02/06 14:30:00</v>
      </c>
      <c r="F111" t="str">
        <v>2009/02/06 14:30:00</v>
      </c>
      <c r="G111">
        <f t="shared" si="3"/>
        <v>39850</v>
      </c>
    </row>
    <row r="112" spans="1:7">
      <c r="A112" s="1">
        <v>39878</v>
      </c>
      <c r="B112">
        <v>-650</v>
      </c>
      <c r="C112">
        <v>-651</v>
      </c>
      <c r="D112" t="str">
        <f t="shared" si="2"/>
        <v>2009/03/06 14:30:00</v>
      </c>
      <c r="F112" t="str">
        <v>2009/03/06 14:30:00</v>
      </c>
      <c r="G112">
        <f t="shared" si="3"/>
        <v>39878</v>
      </c>
    </row>
    <row r="113" spans="1:7">
      <c r="A113" s="1">
        <v>39906</v>
      </c>
      <c r="B113">
        <v>-660</v>
      </c>
      <c r="C113">
        <v>-663</v>
      </c>
      <c r="D113" t="str">
        <f t="shared" si="2"/>
        <v>2009/04/03 14:30:00</v>
      </c>
      <c r="F113" t="str">
        <v>2009/04/03 14:30:00</v>
      </c>
      <c r="G113">
        <f t="shared" si="3"/>
        <v>39906</v>
      </c>
    </row>
    <row r="114" spans="1:7">
      <c r="A114" s="1">
        <v>39941</v>
      </c>
      <c r="B114">
        <v>-600</v>
      </c>
      <c r="C114">
        <v>-539</v>
      </c>
      <c r="D114" t="str">
        <f t="shared" si="2"/>
        <v>2009/05/08 14:30:00</v>
      </c>
      <c r="F114" t="str">
        <v>2009/05/08 14:30:00</v>
      </c>
      <c r="G114">
        <f t="shared" si="3"/>
        <v>39941</v>
      </c>
    </row>
    <row r="115" spans="1:7">
      <c r="A115" s="1">
        <v>39969</v>
      </c>
      <c r="B115">
        <v>-520</v>
      </c>
      <c r="C115">
        <v>-345</v>
      </c>
      <c r="D115" t="str">
        <f t="shared" si="2"/>
        <v>2009/06/05 14:30:00</v>
      </c>
      <c r="F115" t="str">
        <v>2009/06/05 14:30:00</v>
      </c>
      <c r="G115">
        <f t="shared" si="3"/>
        <v>39969</v>
      </c>
    </row>
    <row r="116" spans="1:7">
      <c r="A116" s="1">
        <v>39996</v>
      </c>
      <c r="B116">
        <v>-365</v>
      </c>
      <c r="C116">
        <v>-467</v>
      </c>
      <c r="D116" t="str">
        <f t="shared" si="2"/>
        <v>2009/07/02 14:30:00</v>
      </c>
      <c r="F116" t="str">
        <v>2009/07/02 14:30:00</v>
      </c>
      <c r="G116">
        <f t="shared" si="3"/>
        <v>39996</v>
      </c>
    </row>
    <row r="117" spans="1:7">
      <c r="A117" s="1">
        <v>40032</v>
      </c>
      <c r="B117">
        <v>-325</v>
      </c>
      <c r="C117">
        <v>-247</v>
      </c>
      <c r="D117" t="str">
        <f t="shared" si="2"/>
        <v>2009/08/07 14:30:00</v>
      </c>
      <c r="F117" t="str">
        <v>2009/08/07 14:30:00</v>
      </c>
      <c r="G117">
        <f t="shared" si="3"/>
        <v>40032</v>
      </c>
    </row>
    <row r="118" spans="1:7">
      <c r="A118" s="1">
        <v>40060</v>
      </c>
      <c r="B118">
        <v>-230</v>
      </c>
      <c r="C118">
        <v>-216</v>
      </c>
      <c r="D118" t="str">
        <f t="shared" si="2"/>
        <v>2009/09/04 14:30:00</v>
      </c>
      <c r="F118" t="str">
        <v>2009/09/04 14:30:00</v>
      </c>
      <c r="G118">
        <f t="shared" si="3"/>
        <v>40060</v>
      </c>
    </row>
    <row r="119" spans="1:7">
      <c r="A119" s="1">
        <v>40088</v>
      </c>
      <c r="B119">
        <v>-175</v>
      </c>
      <c r="C119">
        <v>-263</v>
      </c>
      <c r="D119" t="str">
        <f t="shared" si="2"/>
        <v>2009/10/02 14:30:00</v>
      </c>
      <c r="F119" t="str">
        <v>2009/10/02 14:30:00</v>
      </c>
      <c r="G119">
        <f t="shared" si="3"/>
        <v>40088</v>
      </c>
    </row>
    <row r="120" spans="1:7">
      <c r="A120" s="1">
        <v>40123</v>
      </c>
      <c r="B120">
        <v>-175</v>
      </c>
      <c r="C120">
        <v>-190</v>
      </c>
      <c r="D120" t="str">
        <f t="shared" si="2"/>
        <v>2009/11/06 14:30:00</v>
      </c>
      <c r="F120" t="str">
        <v>2009/11/06 14:30:00</v>
      </c>
      <c r="G120">
        <f t="shared" si="3"/>
        <v>40123</v>
      </c>
    </row>
    <row r="121" spans="1:7">
      <c r="A121" s="1">
        <v>40151</v>
      </c>
      <c r="B121">
        <v>-125</v>
      </c>
      <c r="C121">
        <v>-11</v>
      </c>
      <c r="D121" t="str">
        <f t="shared" si="2"/>
        <v>2009/12/04 14:30:00</v>
      </c>
      <c r="F121" t="str">
        <v>2009/12/04 14:30:00</v>
      </c>
      <c r="G121">
        <f t="shared" si="3"/>
        <v>40151</v>
      </c>
    </row>
    <row r="122" spans="1:7">
      <c r="A122" s="1">
        <v>40186</v>
      </c>
      <c r="B122">
        <v>0</v>
      </c>
      <c r="C122">
        <v>-85</v>
      </c>
      <c r="D122" t="str">
        <f t="shared" si="2"/>
        <v>2010/01/08 14:30:00</v>
      </c>
      <c r="F122" t="str">
        <v>2010/01/08 14:30:00</v>
      </c>
      <c r="G122">
        <f t="shared" si="3"/>
        <v>40186</v>
      </c>
    </row>
    <row r="123" spans="1:7">
      <c r="A123" s="1">
        <v>40214</v>
      </c>
      <c r="B123">
        <v>15</v>
      </c>
      <c r="C123">
        <v>-20</v>
      </c>
      <c r="D123" t="str">
        <f t="shared" si="2"/>
        <v>2010/02/05 14:30:00</v>
      </c>
      <c r="F123" t="str">
        <v>2010/02/05 14:30:00</v>
      </c>
      <c r="G123">
        <f t="shared" si="3"/>
        <v>40214</v>
      </c>
    </row>
    <row r="124" spans="1:7">
      <c r="A124" s="1">
        <v>40242</v>
      </c>
      <c r="B124">
        <v>-68</v>
      </c>
      <c r="C124">
        <v>-36</v>
      </c>
      <c r="D124" t="str">
        <f t="shared" si="2"/>
        <v>2010/03/05 14:30:00</v>
      </c>
      <c r="F124" t="str">
        <v>2010/03/05 14:30:00</v>
      </c>
      <c r="G124">
        <f t="shared" si="3"/>
        <v>40242</v>
      </c>
    </row>
    <row r="125" spans="1:7">
      <c r="A125" s="1">
        <v>40270</v>
      </c>
      <c r="B125">
        <v>184</v>
      </c>
      <c r="C125">
        <v>162</v>
      </c>
      <c r="D125" t="str">
        <f t="shared" si="2"/>
        <v>2010/04/02 14:30:00</v>
      </c>
      <c r="F125" t="str">
        <v>2010/04/02 14:30:00</v>
      </c>
      <c r="G125">
        <f t="shared" si="3"/>
        <v>40270</v>
      </c>
    </row>
    <row r="126" spans="1:7">
      <c r="A126" s="1">
        <v>40305</v>
      </c>
      <c r="B126">
        <v>190</v>
      </c>
      <c r="C126">
        <v>290</v>
      </c>
      <c r="D126" t="str">
        <f t="shared" si="2"/>
        <v>2010/05/07 14:30:00</v>
      </c>
      <c r="F126" t="str">
        <v>2010/05/07 14:30:00</v>
      </c>
      <c r="G126">
        <f t="shared" si="3"/>
        <v>40305</v>
      </c>
    </row>
    <row r="127" spans="1:7">
      <c r="A127" s="1">
        <v>40333</v>
      </c>
      <c r="B127">
        <v>536</v>
      </c>
      <c r="C127">
        <v>431</v>
      </c>
      <c r="D127" t="str">
        <f t="shared" si="2"/>
        <v>2010/06/04 14:30:00</v>
      </c>
      <c r="F127" t="str">
        <v>2010/06/04 14:30:00</v>
      </c>
      <c r="G127">
        <f t="shared" si="3"/>
        <v>40333</v>
      </c>
    </row>
    <row r="128" spans="1:7">
      <c r="A128" s="1">
        <v>40361</v>
      </c>
      <c r="B128">
        <v>-130</v>
      </c>
      <c r="C128">
        <v>-125</v>
      </c>
      <c r="D128" t="str">
        <f t="shared" si="2"/>
        <v>2010/07/02 14:30:00</v>
      </c>
      <c r="F128" t="str">
        <v>2010/07/02 14:30:00</v>
      </c>
      <c r="G128">
        <f t="shared" si="3"/>
        <v>40361</v>
      </c>
    </row>
    <row r="129" spans="1:7">
      <c r="A129" s="1">
        <v>40396</v>
      </c>
      <c r="B129">
        <v>-65</v>
      </c>
      <c r="C129">
        <v>-131</v>
      </c>
      <c r="D129" t="str">
        <f t="shared" si="2"/>
        <v>2010/08/06 14:30:00</v>
      </c>
      <c r="F129" t="str">
        <v>2010/08/06 14:30:00</v>
      </c>
      <c r="G129">
        <f t="shared" si="3"/>
        <v>40396</v>
      </c>
    </row>
    <row r="130" spans="1:7">
      <c r="A130" s="1">
        <v>40424</v>
      </c>
      <c r="B130">
        <v>-105</v>
      </c>
      <c r="C130">
        <v>-54</v>
      </c>
      <c r="D130" t="str">
        <f t="shared" si="2"/>
        <v>2010/09/03 14:30:00</v>
      </c>
      <c r="F130" t="str">
        <v>2010/09/03 14:30:00</v>
      </c>
      <c r="G130">
        <f t="shared" si="3"/>
        <v>40424</v>
      </c>
    </row>
    <row r="131" spans="1:7">
      <c r="A131" s="1">
        <v>40459</v>
      </c>
      <c r="B131">
        <v>-5</v>
      </c>
      <c r="C131">
        <v>-95</v>
      </c>
      <c r="D131" t="str">
        <f t="shared" ref="D131:D194" si="4">_xlfn.XLOOKUP(A131,$G:$G,$F:$F,"")</f>
        <v>2010/10/08 14:30:00</v>
      </c>
      <c r="F131" t="str">
        <v>2010/10/08 14:30:00</v>
      </c>
      <c r="G131">
        <f t="shared" ref="G131:G194" si="5">INT(F131)</f>
        <v>40459</v>
      </c>
    </row>
    <row r="132" spans="1:7">
      <c r="A132" s="1">
        <v>40487</v>
      </c>
      <c r="B132">
        <v>60</v>
      </c>
      <c r="C132">
        <v>151</v>
      </c>
      <c r="D132" t="str">
        <f t="shared" si="4"/>
        <v>2010/11/05 13:30:00</v>
      </c>
      <c r="F132" t="str">
        <v>2010/11/05 13:30:00</v>
      </c>
      <c r="G132">
        <f t="shared" si="5"/>
        <v>40487</v>
      </c>
    </row>
    <row r="133" spans="1:7">
      <c r="A133" s="1">
        <v>40515</v>
      </c>
      <c r="B133">
        <v>150</v>
      </c>
      <c r="C133">
        <v>39</v>
      </c>
      <c r="D133" t="str">
        <f t="shared" si="4"/>
        <v>2010/12/03 14:30:00</v>
      </c>
      <c r="F133" t="str">
        <v>2010/12/03 14:30:00</v>
      </c>
      <c r="G133">
        <f t="shared" si="5"/>
        <v>40515</v>
      </c>
    </row>
    <row r="134" spans="1:7">
      <c r="A134" s="1">
        <v>40550</v>
      </c>
      <c r="B134">
        <v>150</v>
      </c>
      <c r="C134">
        <v>103</v>
      </c>
      <c r="D134" t="str">
        <f t="shared" si="4"/>
        <v>2011/01/07 14:30:00</v>
      </c>
      <c r="F134" t="str">
        <v>2011/01/07 14:30:00</v>
      </c>
      <c r="G134">
        <f t="shared" si="5"/>
        <v>40550</v>
      </c>
    </row>
    <row r="135" spans="1:7">
      <c r="A135" s="1">
        <v>40578</v>
      </c>
      <c r="B135">
        <v>146</v>
      </c>
      <c r="C135">
        <v>36</v>
      </c>
      <c r="D135" t="str">
        <f t="shared" si="4"/>
        <v>2011/02/04 14:30:00</v>
      </c>
      <c r="F135" t="str">
        <v>2011/02/04 14:30:00</v>
      </c>
      <c r="G135">
        <f t="shared" si="5"/>
        <v>40578</v>
      </c>
    </row>
    <row r="136" spans="1:7">
      <c r="A136" s="1">
        <v>40606</v>
      </c>
      <c r="B136">
        <v>196</v>
      </c>
      <c r="C136">
        <v>192</v>
      </c>
      <c r="D136" t="str">
        <f t="shared" si="4"/>
        <v>2011/03/04 14:30:00</v>
      </c>
      <c r="F136" t="str">
        <v>2011/03/04 14:30:00</v>
      </c>
      <c r="G136">
        <f t="shared" si="5"/>
        <v>40606</v>
      </c>
    </row>
    <row r="137" spans="1:7">
      <c r="A137" s="1">
        <v>40634</v>
      </c>
      <c r="B137">
        <v>190</v>
      </c>
      <c r="C137">
        <v>216</v>
      </c>
      <c r="D137" t="str">
        <f t="shared" si="4"/>
        <v>2011/04/01 14:30:00</v>
      </c>
      <c r="F137" t="str">
        <v>2011/04/01 14:30:00</v>
      </c>
      <c r="G137">
        <f t="shared" si="5"/>
        <v>40634</v>
      </c>
    </row>
    <row r="138" spans="1:7">
      <c r="A138" s="1">
        <v>40669</v>
      </c>
      <c r="B138">
        <v>185</v>
      </c>
      <c r="C138">
        <v>244</v>
      </c>
      <c r="D138" t="str">
        <f t="shared" si="4"/>
        <v>2011/05/06 14:30:00</v>
      </c>
      <c r="F138" t="str">
        <v>2011/05/06 14:30:00</v>
      </c>
      <c r="G138">
        <f t="shared" si="5"/>
        <v>40669</v>
      </c>
    </row>
    <row r="139" spans="1:7">
      <c r="A139" s="1">
        <v>40697</v>
      </c>
      <c r="B139">
        <v>165</v>
      </c>
      <c r="C139">
        <v>54</v>
      </c>
      <c r="D139" t="str">
        <f t="shared" si="4"/>
        <v>2011/06/03 14:30:00</v>
      </c>
      <c r="F139" t="str">
        <v>2011/06/03 14:30:00</v>
      </c>
      <c r="G139">
        <f t="shared" si="5"/>
        <v>40697</v>
      </c>
    </row>
    <row r="140" spans="1:7">
      <c r="A140" s="1">
        <v>40732</v>
      </c>
      <c r="B140">
        <v>105</v>
      </c>
      <c r="C140">
        <v>18</v>
      </c>
      <c r="D140" t="str">
        <f t="shared" si="4"/>
        <v>2011/07/08 14:30:00</v>
      </c>
      <c r="F140" t="str">
        <v>2011/07/08 14:30:00</v>
      </c>
      <c r="G140">
        <f t="shared" si="5"/>
        <v>40732</v>
      </c>
    </row>
    <row r="141" spans="1:7">
      <c r="A141" s="1">
        <v>40760</v>
      </c>
      <c r="B141">
        <v>85</v>
      </c>
      <c r="C141">
        <v>117</v>
      </c>
      <c r="D141" t="str">
        <f t="shared" si="4"/>
        <v>2011/08/05 14:30:00</v>
      </c>
      <c r="F141" t="str">
        <v>2011/08/05 14:30:00</v>
      </c>
      <c r="G141">
        <f t="shared" si="5"/>
        <v>40760</v>
      </c>
    </row>
    <row r="142" spans="1:7">
      <c r="A142" s="1">
        <v>40788</v>
      </c>
      <c r="B142">
        <v>68</v>
      </c>
      <c r="C142">
        <v>0</v>
      </c>
      <c r="D142" t="str">
        <f t="shared" si="4"/>
        <v>2011/09/02 14:30:00</v>
      </c>
      <c r="F142" t="str">
        <v>2011/09/02 14:30:00</v>
      </c>
      <c r="G142">
        <f t="shared" si="5"/>
        <v>40788</v>
      </c>
    </row>
    <row r="143" spans="1:7">
      <c r="A143" s="1">
        <v>40823</v>
      </c>
      <c r="B143">
        <v>60</v>
      </c>
      <c r="C143">
        <v>103</v>
      </c>
      <c r="D143" t="str">
        <f t="shared" si="4"/>
        <v>2011/10/07 14:30:00</v>
      </c>
      <c r="F143" t="str">
        <v>2011/10/07 14:30:00</v>
      </c>
      <c r="G143">
        <f t="shared" si="5"/>
        <v>40823</v>
      </c>
    </row>
    <row r="144" spans="1:7">
      <c r="A144" s="1">
        <v>40851</v>
      </c>
      <c r="B144">
        <v>95</v>
      </c>
      <c r="C144">
        <v>80</v>
      </c>
      <c r="D144" t="str">
        <f t="shared" si="4"/>
        <v>2011/11/04 13:30:00</v>
      </c>
      <c r="F144" t="str">
        <v>2011/11/04 13:30:00</v>
      </c>
      <c r="G144">
        <f t="shared" si="5"/>
        <v>40851</v>
      </c>
    </row>
    <row r="145" spans="1:7">
      <c r="A145" s="1">
        <v>40879</v>
      </c>
      <c r="B145">
        <v>125</v>
      </c>
      <c r="C145">
        <v>120</v>
      </c>
      <c r="D145" t="str">
        <f t="shared" si="4"/>
        <v>2011/12/02 14:30:00</v>
      </c>
      <c r="F145" t="str">
        <v>2011/12/02 14:30:00</v>
      </c>
      <c r="G145">
        <f t="shared" si="5"/>
        <v>40879</v>
      </c>
    </row>
    <row r="146" spans="1:7">
      <c r="A146" s="1">
        <v>40914</v>
      </c>
      <c r="B146">
        <v>155</v>
      </c>
      <c r="C146">
        <v>200</v>
      </c>
      <c r="D146" t="str">
        <f t="shared" si="4"/>
        <v>2012/01/06 14:30:00</v>
      </c>
      <c r="F146" t="str">
        <v>2012/01/06 14:30:00</v>
      </c>
      <c r="G146">
        <f t="shared" si="5"/>
        <v>40914</v>
      </c>
    </row>
    <row r="147" spans="1:7">
      <c r="A147" s="1">
        <v>40942</v>
      </c>
      <c r="B147">
        <v>140</v>
      </c>
      <c r="C147">
        <v>243</v>
      </c>
      <c r="D147" t="str">
        <f t="shared" si="4"/>
        <v>2012/02/03 14:30:00</v>
      </c>
      <c r="F147" t="str">
        <v>2012/02/03 14:30:00</v>
      </c>
      <c r="G147">
        <f t="shared" si="5"/>
        <v>40942</v>
      </c>
    </row>
    <row r="148" spans="1:7">
      <c r="A148" s="1">
        <v>40977</v>
      </c>
      <c r="B148">
        <v>210</v>
      </c>
      <c r="C148">
        <v>227</v>
      </c>
      <c r="D148" t="str">
        <f t="shared" si="4"/>
        <v>2012/03/09 14:30:00</v>
      </c>
      <c r="F148" t="str">
        <v>2012/03/09 14:30:00</v>
      </c>
      <c r="G148">
        <f t="shared" si="5"/>
        <v>40977</v>
      </c>
    </row>
    <row r="149" spans="1:7">
      <c r="A149" s="1">
        <v>41005</v>
      </c>
      <c r="B149">
        <v>205</v>
      </c>
      <c r="C149">
        <v>120</v>
      </c>
      <c r="D149" t="str">
        <f t="shared" si="4"/>
        <v>2012/04/06 14:30:00</v>
      </c>
      <c r="F149" t="str">
        <v>2012/04/06 14:30:00</v>
      </c>
      <c r="G149">
        <f t="shared" si="5"/>
        <v>41005</v>
      </c>
    </row>
    <row r="150" spans="1:7">
      <c r="A150" s="1">
        <v>41033</v>
      </c>
      <c r="B150">
        <v>160</v>
      </c>
      <c r="C150">
        <v>115</v>
      </c>
      <c r="D150" t="str">
        <f t="shared" si="4"/>
        <v>2012/05/04 14:30:00</v>
      </c>
      <c r="F150" t="str">
        <v>2012/05/04 14:30:00</v>
      </c>
      <c r="G150">
        <f t="shared" si="5"/>
        <v>41033</v>
      </c>
    </row>
    <row r="151" spans="1:7">
      <c r="A151" s="1">
        <v>41061</v>
      </c>
      <c r="B151">
        <v>150</v>
      </c>
      <c r="C151">
        <v>69</v>
      </c>
      <c r="D151" t="str">
        <f t="shared" si="4"/>
        <v>2012/06/01 14:30:00</v>
      </c>
      <c r="F151" t="str">
        <v>2012/06/01 14:30:00</v>
      </c>
      <c r="G151">
        <f t="shared" si="5"/>
        <v>41061</v>
      </c>
    </row>
    <row r="152" spans="1:7">
      <c r="A152" s="1">
        <v>41096</v>
      </c>
      <c r="B152">
        <v>100</v>
      </c>
      <c r="C152">
        <v>80</v>
      </c>
      <c r="D152" t="str">
        <f t="shared" si="4"/>
        <v>2012/07/06 14:30:00</v>
      </c>
      <c r="F152" t="str">
        <v>2012/07/06 14:30:00</v>
      </c>
      <c r="G152">
        <f t="shared" si="5"/>
        <v>41096</v>
      </c>
    </row>
    <row r="153" spans="1:7">
      <c r="A153" s="1">
        <v>41124</v>
      </c>
      <c r="B153">
        <v>100</v>
      </c>
      <c r="C153">
        <v>163</v>
      </c>
      <c r="D153" t="str">
        <f t="shared" si="4"/>
        <v>2012/08/03 14:30:00</v>
      </c>
      <c r="F153" t="str">
        <v>2012/08/03 14:30:00</v>
      </c>
      <c r="G153">
        <f t="shared" si="5"/>
        <v>41124</v>
      </c>
    </row>
    <row r="154" spans="1:7">
      <c r="A154" s="1">
        <v>41159</v>
      </c>
      <c r="B154">
        <v>130</v>
      </c>
      <c r="C154">
        <v>96</v>
      </c>
      <c r="D154" t="str">
        <f t="shared" si="4"/>
        <v>2012/09/07 14:30:00</v>
      </c>
      <c r="F154" t="str">
        <v>2012/09/07 14:30:00</v>
      </c>
      <c r="G154">
        <f t="shared" si="5"/>
        <v>41159</v>
      </c>
    </row>
    <row r="155" spans="1:7">
      <c r="A155" s="1">
        <v>41187</v>
      </c>
      <c r="B155">
        <v>115</v>
      </c>
      <c r="C155">
        <v>114</v>
      </c>
      <c r="D155" t="str">
        <f t="shared" si="4"/>
        <v>2012/10/05 14:30:00</v>
      </c>
      <c r="F155" t="str">
        <v>2012/10/05 14:30:00</v>
      </c>
      <c r="G155">
        <f t="shared" si="5"/>
        <v>41187</v>
      </c>
    </row>
    <row r="156" spans="1:7">
      <c r="A156" s="1">
        <v>41215</v>
      </c>
      <c r="B156">
        <v>125</v>
      </c>
      <c r="C156">
        <v>171</v>
      </c>
      <c r="D156" t="str">
        <f t="shared" si="4"/>
        <v>2012/11/02 13:30:00</v>
      </c>
      <c r="F156" t="str">
        <v>2012/11/02 13:30:00</v>
      </c>
      <c r="G156">
        <f t="shared" si="5"/>
        <v>41215</v>
      </c>
    </row>
    <row r="157" spans="1:7">
      <c r="A157" s="1">
        <v>41250</v>
      </c>
      <c r="B157">
        <v>85</v>
      </c>
      <c r="C157">
        <v>146</v>
      </c>
      <c r="D157" t="str">
        <f t="shared" si="4"/>
        <v>2012/12/07 14:30:00</v>
      </c>
      <c r="F157" t="str">
        <v>2012/12/07 14:30:00</v>
      </c>
      <c r="G157">
        <f t="shared" si="5"/>
        <v>41250</v>
      </c>
    </row>
    <row r="158" spans="1:7">
      <c r="A158" s="1">
        <v>41278</v>
      </c>
      <c r="B158">
        <v>152</v>
      </c>
      <c r="C158">
        <v>155</v>
      </c>
      <c r="D158" t="str">
        <f t="shared" si="4"/>
        <v>2013/01/04 14:30:00</v>
      </c>
      <c r="F158" t="str">
        <v>2013/01/04 14:30:00</v>
      </c>
      <c r="G158">
        <f t="shared" si="5"/>
        <v>41278</v>
      </c>
    </row>
    <row r="159" spans="1:7">
      <c r="A159" s="1">
        <v>41306</v>
      </c>
      <c r="B159">
        <v>165</v>
      </c>
      <c r="C159">
        <v>157</v>
      </c>
      <c r="D159" t="str">
        <f t="shared" si="4"/>
        <v>2013/02/01 14:30:00</v>
      </c>
      <c r="F159" t="str">
        <v>2013/02/01 14:30:00</v>
      </c>
      <c r="G159">
        <f t="shared" si="5"/>
        <v>41306</v>
      </c>
    </row>
    <row r="160" spans="1:7">
      <c r="A160" s="1">
        <v>41341</v>
      </c>
      <c r="B160">
        <v>165</v>
      </c>
      <c r="C160">
        <v>236</v>
      </c>
      <c r="D160" t="str">
        <f t="shared" si="4"/>
        <v>2013/03/08 14:30:00</v>
      </c>
      <c r="F160" t="str">
        <v>2013/03/08 14:30:00</v>
      </c>
      <c r="G160">
        <f t="shared" si="5"/>
        <v>41341</v>
      </c>
    </row>
    <row r="161" spans="1:7">
      <c r="A161" s="1">
        <v>41369</v>
      </c>
      <c r="B161">
        <v>190</v>
      </c>
      <c r="C161">
        <v>88</v>
      </c>
      <c r="D161" t="str">
        <f t="shared" si="4"/>
        <v>2013/04/05 14:30:00</v>
      </c>
      <c r="F161" t="str">
        <v>2013/04/05 14:30:00</v>
      </c>
      <c r="G161">
        <f t="shared" si="5"/>
        <v>41369</v>
      </c>
    </row>
    <row r="162" spans="1:7">
      <c r="A162" s="1">
        <v>41397</v>
      </c>
      <c r="B162">
        <v>140</v>
      </c>
      <c r="C162">
        <v>165</v>
      </c>
      <c r="D162" t="str">
        <f t="shared" si="4"/>
        <v>2013/05/03 14:30:00</v>
      </c>
      <c r="F162" t="str">
        <v>2013/05/03 14:30:00</v>
      </c>
      <c r="G162">
        <f t="shared" si="5"/>
        <v>41397</v>
      </c>
    </row>
    <row r="163" spans="1:7">
      <c r="A163" s="1">
        <v>41432</v>
      </c>
      <c r="B163">
        <v>163</v>
      </c>
      <c r="C163">
        <v>175</v>
      </c>
      <c r="D163" t="str">
        <f t="shared" si="4"/>
        <v>2013/06/07 14:30:00</v>
      </c>
      <c r="F163" t="str">
        <v>2013/06/07 14:30:00</v>
      </c>
      <c r="G163">
        <f t="shared" si="5"/>
        <v>41432</v>
      </c>
    </row>
    <row r="164" spans="1:7">
      <c r="A164" s="1">
        <v>41460</v>
      </c>
      <c r="B164">
        <v>166</v>
      </c>
      <c r="C164">
        <v>195</v>
      </c>
      <c r="D164" t="str">
        <f t="shared" si="4"/>
        <v>2013/07/05 14:30:00</v>
      </c>
      <c r="F164" t="str">
        <v>2013/07/05 14:30:00</v>
      </c>
      <c r="G164">
        <f t="shared" si="5"/>
        <v>41460</v>
      </c>
    </row>
    <row r="165" spans="1:7">
      <c r="A165" s="1">
        <v>41488</v>
      </c>
      <c r="B165">
        <v>185</v>
      </c>
      <c r="C165">
        <v>162</v>
      </c>
      <c r="D165" t="str">
        <f t="shared" si="4"/>
        <v>2013/08/02 14:30:00</v>
      </c>
      <c r="F165" t="str">
        <v>2013/08/02 14:30:00</v>
      </c>
      <c r="G165">
        <f t="shared" si="5"/>
        <v>41488</v>
      </c>
    </row>
    <row r="166" spans="1:7">
      <c r="A166" s="1">
        <v>41523</v>
      </c>
      <c r="B166">
        <v>180</v>
      </c>
      <c r="C166">
        <v>169</v>
      </c>
      <c r="D166" t="str">
        <f t="shared" si="4"/>
        <v>2013/09/06 14:30:00</v>
      </c>
      <c r="F166" t="str">
        <v>2013/09/06 14:30:00</v>
      </c>
      <c r="G166">
        <f t="shared" si="5"/>
        <v>41523</v>
      </c>
    </row>
    <row r="167" spans="1:7">
      <c r="A167" s="1">
        <v>41569</v>
      </c>
      <c r="B167">
        <v>180</v>
      </c>
      <c r="C167">
        <v>148</v>
      </c>
      <c r="D167" t="str">
        <f t="shared" si="4"/>
        <v>2013/10/22 14:30:00</v>
      </c>
      <c r="F167" t="str">
        <v>2013/10/22 14:30:00</v>
      </c>
      <c r="G167">
        <f t="shared" si="5"/>
        <v>41569</v>
      </c>
    </row>
    <row r="168" spans="1:7">
      <c r="A168" s="1">
        <v>41586</v>
      </c>
      <c r="B168">
        <v>120</v>
      </c>
      <c r="C168">
        <v>204</v>
      </c>
      <c r="D168" t="str">
        <f t="shared" si="4"/>
        <v>2013/11/08 14:30:00</v>
      </c>
      <c r="F168" t="str">
        <v>2013/11/08 14:30:00</v>
      </c>
      <c r="G168">
        <f t="shared" si="5"/>
        <v>41586</v>
      </c>
    </row>
    <row r="169" spans="1:7">
      <c r="A169" s="1">
        <v>41614</v>
      </c>
      <c r="B169">
        <v>185</v>
      </c>
      <c r="C169">
        <v>203</v>
      </c>
      <c r="D169" t="str">
        <f t="shared" si="4"/>
        <v>2013/12/06 14:30:00</v>
      </c>
      <c r="F169" t="str">
        <v>2013/12/06 14:30:00</v>
      </c>
      <c r="G169">
        <f t="shared" si="5"/>
        <v>41614</v>
      </c>
    </row>
    <row r="170" spans="1:7">
      <c r="A170" s="1">
        <v>41649</v>
      </c>
      <c r="B170">
        <v>197</v>
      </c>
      <c r="C170">
        <v>74</v>
      </c>
      <c r="D170" t="str">
        <f t="shared" si="4"/>
        <v>2014/01/10 14:30:00</v>
      </c>
      <c r="F170" t="str">
        <v>2014/01/10 14:30:00</v>
      </c>
      <c r="G170">
        <f t="shared" si="5"/>
        <v>41649</v>
      </c>
    </row>
    <row r="171" spans="1:7">
      <c r="A171" s="1">
        <v>41677</v>
      </c>
      <c r="B171">
        <v>180</v>
      </c>
      <c r="C171">
        <v>113</v>
      </c>
      <c r="D171" t="str">
        <f t="shared" si="4"/>
        <v>2014/02/07 14:30:00</v>
      </c>
      <c r="F171" t="str">
        <v>2014/02/07 14:30:00</v>
      </c>
      <c r="G171">
        <f t="shared" si="5"/>
        <v>41677</v>
      </c>
    </row>
    <row r="172" spans="1:7">
      <c r="A172" s="1">
        <v>41705</v>
      </c>
      <c r="B172">
        <v>149</v>
      </c>
      <c r="C172">
        <v>175</v>
      </c>
      <c r="D172" t="str">
        <f t="shared" si="4"/>
        <v>2014/03/07 14:30:00</v>
      </c>
      <c r="F172" t="str">
        <v>2014/03/07 14:30:00</v>
      </c>
      <c r="G172">
        <f t="shared" si="5"/>
        <v>41705</v>
      </c>
    </row>
    <row r="173" spans="1:7">
      <c r="A173" s="1">
        <v>41733</v>
      </c>
      <c r="B173">
        <v>200</v>
      </c>
      <c r="C173">
        <v>192</v>
      </c>
      <c r="D173" t="str">
        <f t="shared" si="4"/>
        <v>2014/04/04 14:30:00</v>
      </c>
      <c r="F173" t="str">
        <v>2014/04/04 14:30:00</v>
      </c>
      <c r="G173">
        <f t="shared" si="5"/>
        <v>41733</v>
      </c>
    </row>
    <row r="174" spans="1:7">
      <c r="A174" s="1">
        <v>41761</v>
      </c>
      <c r="B174">
        <v>218</v>
      </c>
      <c r="C174">
        <v>288</v>
      </c>
      <c r="D174" t="str">
        <f t="shared" si="4"/>
        <v>2014/05/02 14:30:00</v>
      </c>
      <c r="F174" t="str">
        <v>2014/05/02 14:30:00</v>
      </c>
      <c r="G174">
        <f t="shared" si="5"/>
        <v>41761</v>
      </c>
    </row>
    <row r="175" spans="1:7">
      <c r="A175" s="1">
        <v>41796</v>
      </c>
      <c r="B175">
        <v>215</v>
      </c>
      <c r="C175">
        <v>217</v>
      </c>
      <c r="D175" t="str">
        <f t="shared" si="4"/>
        <v>2014/06/06 14:30:00</v>
      </c>
      <c r="F175" t="str">
        <v>2014/06/06 14:30:00</v>
      </c>
      <c r="G175">
        <f t="shared" si="5"/>
        <v>41796</v>
      </c>
    </row>
    <row r="176" spans="1:7">
      <c r="A176" s="1">
        <v>41823</v>
      </c>
      <c r="B176">
        <v>215</v>
      </c>
      <c r="C176">
        <v>288</v>
      </c>
      <c r="D176" t="str">
        <f t="shared" si="4"/>
        <v>2014/07/03 14:30:00</v>
      </c>
      <c r="F176" t="str">
        <v>2014/07/03 14:30:00</v>
      </c>
      <c r="G176">
        <f t="shared" si="5"/>
        <v>41823</v>
      </c>
    </row>
    <row r="177" spans="1:7">
      <c r="A177" s="1">
        <v>41852</v>
      </c>
      <c r="B177">
        <v>230</v>
      </c>
      <c r="C177">
        <v>209</v>
      </c>
      <c r="D177" t="str">
        <f t="shared" si="4"/>
        <v>2014/08/01 14:30:00</v>
      </c>
      <c r="F177" t="str">
        <v>2014/08/01 14:30:00</v>
      </c>
      <c r="G177">
        <f t="shared" si="5"/>
        <v>41852</v>
      </c>
    </row>
    <row r="178" spans="1:7">
      <c r="A178" s="1">
        <v>41887</v>
      </c>
      <c r="B178">
        <v>230</v>
      </c>
      <c r="C178">
        <v>142</v>
      </c>
      <c r="D178" t="str">
        <f t="shared" si="4"/>
        <v>2014/09/05 14:30:00</v>
      </c>
      <c r="F178" t="str">
        <v>2014/09/05 14:30:00</v>
      </c>
      <c r="G178">
        <f t="shared" si="5"/>
        <v>41887</v>
      </c>
    </row>
    <row r="179" spans="1:7">
      <c r="A179" s="1">
        <v>41915</v>
      </c>
      <c r="B179">
        <v>215</v>
      </c>
      <c r="C179">
        <v>248</v>
      </c>
      <c r="D179" t="str">
        <f t="shared" si="4"/>
        <v>2014/10/03 14:30:00</v>
      </c>
      <c r="F179" t="str">
        <v>2014/10/03 14:30:00</v>
      </c>
      <c r="G179">
        <f t="shared" si="5"/>
        <v>41915</v>
      </c>
    </row>
    <row r="180" spans="1:7">
      <c r="A180" s="1">
        <v>41950</v>
      </c>
      <c r="B180">
        <v>235</v>
      </c>
      <c r="C180">
        <v>214</v>
      </c>
      <c r="D180" t="str">
        <f t="shared" si="4"/>
        <v>2014/11/07 14:30:00</v>
      </c>
      <c r="F180" t="str">
        <v>2014/11/07 14:30:00</v>
      </c>
      <c r="G180">
        <f t="shared" si="5"/>
        <v>41950</v>
      </c>
    </row>
    <row r="181" spans="1:7">
      <c r="A181" s="1">
        <v>41978</v>
      </c>
      <c r="B181">
        <v>230</v>
      </c>
      <c r="C181">
        <v>321</v>
      </c>
      <c r="D181" t="str">
        <f t="shared" si="4"/>
        <v>2014/12/05 14:30:00</v>
      </c>
      <c r="F181" t="str">
        <v>2014/12/05 14:30:00</v>
      </c>
      <c r="G181">
        <f t="shared" si="5"/>
        <v>41978</v>
      </c>
    </row>
    <row r="182" spans="1:7">
      <c r="A182" s="1">
        <v>42013</v>
      </c>
      <c r="B182">
        <v>240</v>
      </c>
      <c r="C182">
        <v>252</v>
      </c>
      <c r="D182" t="str">
        <f t="shared" si="4"/>
        <v>2015/01/09 14:30:00</v>
      </c>
      <c r="F182" t="str">
        <v>2015/01/09 14:30:00</v>
      </c>
      <c r="G182">
        <f t="shared" si="5"/>
        <v>42013</v>
      </c>
    </row>
    <row r="183" spans="1:7">
      <c r="A183" s="1">
        <v>42041</v>
      </c>
      <c r="B183">
        <v>228</v>
      </c>
      <c r="C183">
        <v>257</v>
      </c>
      <c r="D183" t="str">
        <f t="shared" si="4"/>
        <v>2015/02/06 14:30:00</v>
      </c>
      <c r="F183" t="str">
        <v>2015/02/06 14:30:00</v>
      </c>
      <c r="G183">
        <f t="shared" si="5"/>
        <v>42041</v>
      </c>
    </row>
    <row r="184" spans="1:7">
      <c r="A184" s="1">
        <v>42069</v>
      </c>
      <c r="B184">
        <v>235</v>
      </c>
      <c r="C184">
        <v>295</v>
      </c>
      <c r="D184" t="str">
        <f t="shared" si="4"/>
        <v>2015/03/06 14:30:00</v>
      </c>
      <c r="F184" t="str">
        <v>2015/03/06 14:30:00</v>
      </c>
      <c r="G184">
        <f t="shared" si="5"/>
        <v>42069</v>
      </c>
    </row>
    <row r="185" spans="1:7">
      <c r="A185" s="1">
        <v>42097</v>
      </c>
      <c r="B185">
        <v>245</v>
      </c>
      <c r="C185">
        <v>126</v>
      </c>
      <c r="D185" t="str">
        <f t="shared" si="4"/>
        <v>2015/04/03 14:30:00</v>
      </c>
      <c r="F185" t="str">
        <v>2015/04/03 14:30:00</v>
      </c>
      <c r="G185">
        <f t="shared" si="5"/>
        <v>42097</v>
      </c>
    </row>
    <row r="186" spans="1:7">
      <c r="A186" s="1">
        <v>42132</v>
      </c>
      <c r="B186">
        <v>228</v>
      </c>
      <c r="C186">
        <v>223</v>
      </c>
      <c r="D186" t="str">
        <f t="shared" si="4"/>
        <v>2015/05/08 14:30:00</v>
      </c>
      <c r="F186" t="str">
        <v>2015/05/08 14:30:00</v>
      </c>
      <c r="G186">
        <f t="shared" si="5"/>
        <v>42132</v>
      </c>
    </row>
    <row r="187" spans="1:7">
      <c r="A187" s="1">
        <v>42160</v>
      </c>
      <c r="B187">
        <v>226</v>
      </c>
      <c r="C187">
        <v>280</v>
      </c>
      <c r="D187" t="str">
        <f t="shared" si="4"/>
        <v>2015/06/05 14:30:00</v>
      </c>
      <c r="F187" t="str">
        <v>2015/06/05 14:30:00</v>
      </c>
      <c r="G187">
        <f t="shared" si="5"/>
        <v>42160</v>
      </c>
    </row>
    <row r="188" spans="1:7">
      <c r="A188" s="1">
        <v>42187</v>
      </c>
      <c r="B188">
        <v>233</v>
      </c>
      <c r="C188">
        <v>223</v>
      </c>
      <c r="D188" t="str">
        <f t="shared" si="4"/>
        <v>2015/07/02 14:30:00</v>
      </c>
      <c r="F188" t="str">
        <v>2015/07/02 14:30:00</v>
      </c>
      <c r="G188">
        <f t="shared" si="5"/>
        <v>42187</v>
      </c>
    </row>
    <row r="189" spans="1:7">
      <c r="A189" s="1">
        <v>42223</v>
      </c>
      <c r="B189">
        <v>225</v>
      </c>
      <c r="C189">
        <v>215</v>
      </c>
      <c r="D189" t="str">
        <f t="shared" si="4"/>
        <v>2015/08/07 14:30:00</v>
      </c>
      <c r="F189" t="str">
        <v>2015/08/07 14:30:00</v>
      </c>
      <c r="G189">
        <f t="shared" si="5"/>
        <v>42223</v>
      </c>
    </row>
    <row r="190" spans="1:7">
      <c r="A190" s="1">
        <v>42251</v>
      </c>
      <c r="B190">
        <v>217</v>
      </c>
      <c r="C190">
        <v>173</v>
      </c>
      <c r="D190" t="str">
        <f t="shared" si="4"/>
        <v>2015/09/04 14:30:00</v>
      </c>
      <c r="F190" t="str">
        <v>2015/09/04 14:30:00</v>
      </c>
      <c r="G190">
        <f t="shared" si="5"/>
        <v>42251</v>
      </c>
    </row>
    <row r="191" spans="1:7">
      <c r="A191" s="1">
        <v>42279</v>
      </c>
      <c r="B191">
        <v>200</v>
      </c>
      <c r="C191">
        <v>142</v>
      </c>
      <c r="D191" t="str">
        <f t="shared" si="4"/>
        <v>2015/10/02 14:30:00</v>
      </c>
      <c r="F191" t="str">
        <v>2015/10/02 14:30:00</v>
      </c>
      <c r="G191">
        <f t="shared" si="5"/>
        <v>42279</v>
      </c>
    </row>
    <row r="192" spans="1:7">
      <c r="A192" s="1">
        <v>42314</v>
      </c>
      <c r="B192">
        <v>185</v>
      </c>
      <c r="C192">
        <v>271</v>
      </c>
      <c r="D192" t="str">
        <f t="shared" si="4"/>
        <v>2015/11/06 14:30:00</v>
      </c>
      <c r="F192" t="str">
        <v>2015/11/06 14:30:00</v>
      </c>
      <c r="G192">
        <f t="shared" si="5"/>
        <v>42314</v>
      </c>
    </row>
    <row r="193" spans="1:7">
      <c r="A193" s="1">
        <v>42342</v>
      </c>
      <c r="B193">
        <v>200</v>
      </c>
      <c r="C193">
        <v>211</v>
      </c>
      <c r="D193" t="str">
        <f t="shared" si="4"/>
        <v>2015/12/04 14:30:00</v>
      </c>
      <c r="F193" t="str">
        <v>2015/12/04 14:30:00</v>
      </c>
      <c r="G193">
        <f t="shared" si="5"/>
        <v>42342</v>
      </c>
    </row>
    <row r="194" spans="1:7">
      <c r="A194" s="1">
        <v>42377</v>
      </c>
      <c r="B194">
        <v>200</v>
      </c>
      <c r="C194">
        <v>292</v>
      </c>
      <c r="D194" t="str">
        <f t="shared" si="4"/>
        <v>2016/01/08 14:30:00</v>
      </c>
      <c r="F194" t="str">
        <v>2016/01/08 14:30:00</v>
      </c>
      <c r="G194">
        <f t="shared" si="5"/>
        <v>42377</v>
      </c>
    </row>
    <row r="195" spans="1:7">
      <c r="A195" s="1">
        <v>42405</v>
      </c>
      <c r="B195">
        <v>190</v>
      </c>
      <c r="C195">
        <v>151</v>
      </c>
      <c r="D195" t="str">
        <f t="shared" ref="D195:D258" si="6">_xlfn.XLOOKUP(A195,$G:$G,$F:$F,"")</f>
        <v>2016/02/05 14:30:00</v>
      </c>
      <c r="F195" t="str">
        <v>2016/02/05 14:30:00</v>
      </c>
      <c r="G195">
        <f t="shared" ref="G195:G258" si="7">INT(F195)</f>
        <v>42405</v>
      </c>
    </row>
    <row r="196" spans="1:7">
      <c r="A196" s="1">
        <v>42433</v>
      </c>
      <c r="B196">
        <v>195</v>
      </c>
      <c r="C196">
        <v>242</v>
      </c>
      <c r="D196" t="str">
        <f t="shared" si="6"/>
        <v>2016/03/04 14:30:00</v>
      </c>
      <c r="F196" t="str">
        <v>2016/03/04 14:30:00</v>
      </c>
      <c r="G196">
        <f t="shared" si="7"/>
        <v>42433</v>
      </c>
    </row>
    <row r="197" spans="1:7">
      <c r="A197" s="1">
        <v>42461</v>
      </c>
      <c r="B197">
        <v>205</v>
      </c>
      <c r="C197">
        <v>215</v>
      </c>
      <c r="D197" t="str">
        <f t="shared" si="6"/>
        <v>2016/04/01 14:30:00</v>
      </c>
      <c r="F197" t="str">
        <v>2016/04/01 14:30:00</v>
      </c>
      <c r="G197">
        <f t="shared" si="7"/>
        <v>42461</v>
      </c>
    </row>
    <row r="198" spans="1:7">
      <c r="A198" s="1">
        <v>42496</v>
      </c>
      <c r="B198">
        <v>200</v>
      </c>
      <c r="C198">
        <v>160</v>
      </c>
      <c r="D198" t="str">
        <f t="shared" si="6"/>
        <v>2016/05/06 14:30:00</v>
      </c>
      <c r="F198" t="str">
        <v>2016/05/06 14:30:00</v>
      </c>
      <c r="G198">
        <f t="shared" si="7"/>
        <v>42496</v>
      </c>
    </row>
    <row r="199" spans="1:7">
      <c r="A199" s="1">
        <v>42524</v>
      </c>
      <c r="B199">
        <v>160</v>
      </c>
      <c r="C199">
        <v>38</v>
      </c>
      <c r="D199" t="str">
        <f t="shared" si="6"/>
        <v>2016/06/03 14:30:00</v>
      </c>
      <c r="F199" t="str">
        <v>2016/06/03 14:30:00</v>
      </c>
      <c r="G199">
        <f t="shared" si="7"/>
        <v>42524</v>
      </c>
    </row>
    <row r="200" spans="1:7">
      <c r="A200" s="1">
        <v>42559</v>
      </c>
      <c r="B200">
        <v>180</v>
      </c>
      <c r="C200">
        <v>287</v>
      </c>
      <c r="D200" t="str">
        <f t="shared" si="6"/>
        <v>2016/07/08 14:30:00</v>
      </c>
      <c r="F200" t="str">
        <v>2016/07/08 14:30:00</v>
      </c>
      <c r="G200">
        <f t="shared" si="7"/>
        <v>42559</v>
      </c>
    </row>
    <row r="201" spans="1:7">
      <c r="A201" s="1">
        <v>42587</v>
      </c>
      <c r="B201">
        <v>180</v>
      </c>
      <c r="C201">
        <v>255</v>
      </c>
      <c r="D201" t="str">
        <f t="shared" si="6"/>
        <v>2016/08/05 14:30:00</v>
      </c>
      <c r="F201" t="str">
        <v>2016/08/05 14:30:00</v>
      </c>
      <c r="G201">
        <f t="shared" si="7"/>
        <v>42587</v>
      </c>
    </row>
    <row r="202" spans="1:7">
      <c r="A202" s="1">
        <v>42615</v>
      </c>
      <c r="B202">
        <v>180</v>
      </c>
      <c r="C202">
        <v>151</v>
      </c>
      <c r="D202" t="str">
        <f t="shared" si="6"/>
        <v>2016/09/02 14:30:00</v>
      </c>
      <c r="F202" t="str">
        <v>2016/09/02 14:30:00</v>
      </c>
      <c r="G202">
        <f t="shared" si="7"/>
        <v>42615</v>
      </c>
    </row>
    <row r="203" spans="1:7">
      <c r="A203" s="1">
        <v>42650</v>
      </c>
      <c r="B203">
        <v>172</v>
      </c>
      <c r="C203">
        <v>156</v>
      </c>
      <c r="D203" t="str">
        <f t="shared" si="6"/>
        <v>2016/10/07 14:30:00</v>
      </c>
      <c r="F203" t="str">
        <v>2016/10/07 14:30:00</v>
      </c>
      <c r="G203">
        <f t="shared" si="7"/>
        <v>42650</v>
      </c>
    </row>
    <row r="204" spans="1:7">
      <c r="A204" s="1">
        <v>42678</v>
      </c>
      <c r="B204">
        <v>173</v>
      </c>
      <c r="C204">
        <v>161</v>
      </c>
      <c r="D204" t="str">
        <f t="shared" si="6"/>
        <v>2016/11/04 13:30:00</v>
      </c>
      <c r="F204" t="str">
        <v>2016/11/04 13:30:00</v>
      </c>
      <c r="G204">
        <f t="shared" si="7"/>
        <v>42678</v>
      </c>
    </row>
    <row r="205" spans="1:7">
      <c r="A205" s="1">
        <v>42706</v>
      </c>
      <c r="B205">
        <v>180</v>
      </c>
      <c r="C205">
        <v>178</v>
      </c>
      <c r="D205" t="str">
        <f t="shared" si="6"/>
        <v>2016/12/02 14:30:00</v>
      </c>
      <c r="F205" t="str">
        <v>2016/12/02 14:30:00</v>
      </c>
      <c r="G205">
        <f t="shared" si="7"/>
        <v>42706</v>
      </c>
    </row>
    <row r="206" spans="1:7">
      <c r="A206" s="1">
        <v>42741</v>
      </c>
      <c r="B206">
        <v>175</v>
      </c>
      <c r="C206">
        <v>156</v>
      </c>
      <c r="D206" t="str">
        <f t="shared" si="6"/>
        <v>2017/01/06 14:30:00</v>
      </c>
      <c r="F206" t="str">
        <v>2017/01/06 14:30:00</v>
      </c>
      <c r="G206">
        <f t="shared" si="7"/>
        <v>42741</v>
      </c>
    </row>
    <row r="207" spans="1:7">
      <c r="A207" s="1">
        <v>42769</v>
      </c>
      <c r="B207">
        <v>180</v>
      </c>
      <c r="C207">
        <v>227</v>
      </c>
      <c r="D207" t="str">
        <f t="shared" si="6"/>
        <v>2017/02/03 14:30:00</v>
      </c>
      <c r="F207" t="str">
        <v>2017/02/03 14:30:00</v>
      </c>
      <c r="G207">
        <f t="shared" si="7"/>
        <v>42769</v>
      </c>
    </row>
    <row r="208" spans="1:7">
      <c r="A208" s="1">
        <v>42804</v>
      </c>
      <c r="B208">
        <v>200</v>
      </c>
      <c r="C208">
        <v>235</v>
      </c>
      <c r="D208" t="str">
        <f t="shared" si="6"/>
        <v>2017/03/10 14:30:00</v>
      </c>
      <c r="F208" t="str">
        <v>2017/03/10 14:30:00</v>
      </c>
      <c r="G208">
        <f t="shared" si="7"/>
        <v>42804</v>
      </c>
    </row>
    <row r="209" spans="1:7">
      <c r="A209" s="1">
        <v>42832</v>
      </c>
      <c r="B209">
        <v>180</v>
      </c>
      <c r="C209">
        <v>98</v>
      </c>
      <c r="D209" t="str">
        <f t="shared" si="6"/>
        <v>2017/04/07 14:30:00</v>
      </c>
      <c r="F209" t="str">
        <v>2017/04/07 14:30:00</v>
      </c>
      <c r="G209">
        <f t="shared" si="7"/>
        <v>42832</v>
      </c>
    </row>
    <row r="210" spans="1:7">
      <c r="A210" s="1">
        <v>42860</v>
      </c>
      <c r="B210">
        <v>190</v>
      </c>
      <c r="C210">
        <v>211</v>
      </c>
      <c r="D210" t="str">
        <f t="shared" si="6"/>
        <v>2017/05/05 14:30:00</v>
      </c>
      <c r="F210" t="str">
        <v>2017/05/05 14:30:00</v>
      </c>
      <c r="G210">
        <f t="shared" si="7"/>
        <v>42860</v>
      </c>
    </row>
    <row r="211" spans="1:7">
      <c r="A211" s="1">
        <v>42888</v>
      </c>
      <c r="B211">
        <v>182</v>
      </c>
      <c r="C211">
        <v>138</v>
      </c>
      <c r="D211" t="str">
        <f t="shared" si="6"/>
        <v>2017/06/02 14:30:00</v>
      </c>
      <c r="F211" t="str">
        <v>2017/06/02 14:30:00</v>
      </c>
      <c r="G211">
        <f t="shared" si="7"/>
        <v>42888</v>
      </c>
    </row>
    <row r="212" spans="1:7">
      <c r="A212" s="1">
        <v>42923</v>
      </c>
      <c r="B212">
        <v>178</v>
      </c>
      <c r="C212">
        <v>222</v>
      </c>
      <c r="D212" t="str">
        <f t="shared" si="6"/>
        <v>2017/07/07 14:30:00</v>
      </c>
      <c r="F212" t="str">
        <v>2017/07/07 14:30:00</v>
      </c>
      <c r="G212">
        <f t="shared" si="7"/>
        <v>42923</v>
      </c>
    </row>
    <row r="213" spans="1:7">
      <c r="A213" s="1">
        <v>42951</v>
      </c>
      <c r="B213">
        <v>180</v>
      </c>
      <c r="C213">
        <v>209</v>
      </c>
      <c r="D213" t="str">
        <f t="shared" si="6"/>
        <v>2017/08/04 14:30:00</v>
      </c>
      <c r="F213" t="str">
        <v>2017/08/04 14:30:00</v>
      </c>
      <c r="G213">
        <f t="shared" si="7"/>
        <v>42951</v>
      </c>
    </row>
    <row r="214" spans="1:7">
      <c r="A214" s="1">
        <v>42979</v>
      </c>
      <c r="B214">
        <v>180</v>
      </c>
      <c r="C214">
        <v>156</v>
      </c>
      <c r="D214" t="str">
        <f t="shared" si="6"/>
        <v>2017/09/01 14:30:00</v>
      </c>
      <c r="F214" t="str">
        <v>2017/09/01 14:30:00</v>
      </c>
      <c r="G214">
        <f t="shared" si="7"/>
        <v>42979</v>
      </c>
    </row>
    <row r="215" spans="1:7">
      <c r="A215" s="1">
        <v>43014</v>
      </c>
      <c r="B215">
        <v>80</v>
      </c>
      <c r="C215">
        <v>-33</v>
      </c>
      <c r="D215" t="str">
        <f t="shared" si="6"/>
        <v>2017/10/06 14:30:00</v>
      </c>
      <c r="F215" t="str">
        <v>2017/10/06 14:30:00</v>
      </c>
      <c r="G215">
        <f t="shared" si="7"/>
        <v>43014</v>
      </c>
    </row>
    <row r="216" spans="1:7">
      <c r="A216" s="1">
        <v>43042</v>
      </c>
      <c r="B216">
        <v>313</v>
      </c>
      <c r="C216">
        <v>261</v>
      </c>
      <c r="D216" t="str">
        <f t="shared" si="6"/>
        <v>2017/11/03 13:30:00</v>
      </c>
      <c r="F216" t="str">
        <v>2017/11/03 13:30:00</v>
      </c>
      <c r="G216">
        <f t="shared" si="7"/>
        <v>43042</v>
      </c>
    </row>
    <row r="217" spans="1:7">
      <c r="A217" s="1">
        <v>43077</v>
      </c>
      <c r="B217">
        <v>195</v>
      </c>
      <c r="C217">
        <v>228</v>
      </c>
      <c r="D217" t="str">
        <f t="shared" si="6"/>
        <v>2017/12/08 14:30:00</v>
      </c>
      <c r="F217" t="str">
        <v>2017/12/08 14:30:00</v>
      </c>
      <c r="G217">
        <f t="shared" si="7"/>
        <v>43077</v>
      </c>
    </row>
    <row r="218" spans="1:7">
      <c r="A218" s="1">
        <v>43105</v>
      </c>
      <c r="B218">
        <v>190</v>
      </c>
      <c r="C218">
        <v>148</v>
      </c>
      <c r="D218" t="str">
        <f t="shared" si="6"/>
        <v>2018/01/05 14:30:00</v>
      </c>
      <c r="F218" t="str">
        <v>2018/01/05 14:30:00</v>
      </c>
      <c r="G218">
        <f t="shared" si="7"/>
        <v>43105</v>
      </c>
    </row>
    <row r="219" spans="1:7">
      <c r="A219" s="1">
        <v>43133</v>
      </c>
      <c r="B219">
        <v>180</v>
      </c>
      <c r="C219">
        <v>200</v>
      </c>
      <c r="D219" t="str">
        <f t="shared" si="6"/>
        <v>2018/02/02 14:30:00</v>
      </c>
      <c r="F219" t="str">
        <v>2018/02/02 14:30:00</v>
      </c>
      <c r="G219">
        <f t="shared" si="7"/>
        <v>43133</v>
      </c>
    </row>
    <row r="220" spans="1:7">
      <c r="A220" s="1">
        <v>43168</v>
      </c>
      <c r="B220">
        <v>205</v>
      </c>
      <c r="C220">
        <v>313</v>
      </c>
      <c r="D220" t="str">
        <f t="shared" si="6"/>
        <v>2018/03/09 14:30:00</v>
      </c>
      <c r="F220" t="str">
        <v>2018/03/09 14:30:00</v>
      </c>
      <c r="G220">
        <f t="shared" si="7"/>
        <v>43168</v>
      </c>
    </row>
    <row r="221" spans="1:7">
      <c r="A221" s="1">
        <v>43196</v>
      </c>
      <c r="B221">
        <v>185</v>
      </c>
      <c r="C221">
        <v>103</v>
      </c>
      <c r="D221" t="str">
        <f t="shared" si="6"/>
        <v>2018/04/06 14:30:00</v>
      </c>
      <c r="F221" t="str">
        <v>2018/04/06 14:30:00</v>
      </c>
      <c r="G221">
        <f t="shared" si="7"/>
        <v>43196</v>
      </c>
    </row>
    <row r="222" spans="1:7">
      <c r="A222" s="1">
        <v>43224</v>
      </c>
      <c r="B222">
        <v>193</v>
      </c>
      <c r="C222">
        <v>164</v>
      </c>
      <c r="D222" t="str">
        <f t="shared" si="6"/>
        <v>2018/05/04 14:30:00</v>
      </c>
      <c r="F222" t="str">
        <v>2018/05/04 14:30:00</v>
      </c>
      <c r="G222">
        <f t="shared" si="7"/>
        <v>43224</v>
      </c>
    </row>
    <row r="223" spans="1:7">
      <c r="A223" s="1">
        <v>43252</v>
      </c>
      <c r="B223">
        <v>190</v>
      </c>
      <c r="C223">
        <v>223</v>
      </c>
      <c r="D223" t="str">
        <f t="shared" si="6"/>
        <v>2018/06/01 14:30:00</v>
      </c>
      <c r="F223" t="str">
        <v>2018/06/01 14:30:00</v>
      </c>
      <c r="G223">
        <f t="shared" si="7"/>
        <v>43252</v>
      </c>
    </row>
    <row r="224" spans="1:7">
      <c r="A224" s="1">
        <v>43287</v>
      </c>
      <c r="B224">
        <v>195</v>
      </c>
      <c r="C224">
        <v>213</v>
      </c>
      <c r="D224" t="str">
        <f t="shared" si="6"/>
        <v>2018/07/06 14:30:00</v>
      </c>
      <c r="F224" t="str">
        <v>2018/07/06 14:30:00</v>
      </c>
      <c r="G224">
        <f t="shared" si="7"/>
        <v>43287</v>
      </c>
    </row>
    <row r="225" spans="1:7">
      <c r="A225" s="1">
        <v>43315</v>
      </c>
      <c r="B225">
        <v>193</v>
      </c>
      <c r="C225">
        <v>157</v>
      </c>
      <c r="D225" t="str">
        <f t="shared" si="6"/>
        <v>2018/08/03 14:30:00</v>
      </c>
      <c r="F225" t="str">
        <v>2018/08/03 14:30:00</v>
      </c>
      <c r="G225">
        <f t="shared" si="7"/>
        <v>43315</v>
      </c>
    </row>
    <row r="226" spans="1:7">
      <c r="A226" s="1">
        <v>43350</v>
      </c>
      <c r="B226">
        <v>190</v>
      </c>
      <c r="C226">
        <v>201</v>
      </c>
      <c r="D226" t="str">
        <f t="shared" si="6"/>
        <v>2018/09/07 14:30:00</v>
      </c>
      <c r="F226" t="str">
        <v>2018/09/07 14:30:00</v>
      </c>
      <c r="G226">
        <f t="shared" si="7"/>
        <v>43350</v>
      </c>
    </row>
    <row r="227" spans="1:7">
      <c r="A227" s="1">
        <v>43378</v>
      </c>
      <c r="B227">
        <v>185</v>
      </c>
      <c r="C227">
        <v>134</v>
      </c>
      <c r="D227" t="str">
        <f t="shared" si="6"/>
        <v>2018/10/05 14:30:00</v>
      </c>
      <c r="F227" t="str">
        <v>2018/10/05 14:30:00</v>
      </c>
      <c r="G227">
        <f t="shared" si="7"/>
        <v>43378</v>
      </c>
    </row>
    <row r="228" spans="1:7">
      <c r="A228" s="1">
        <v>43406</v>
      </c>
      <c r="B228">
        <v>200</v>
      </c>
      <c r="C228">
        <v>250</v>
      </c>
      <c r="D228" t="str">
        <f t="shared" si="6"/>
        <v>2018/11/02 13:30:00</v>
      </c>
      <c r="F228" t="str">
        <v>2018/11/02 13:30:00</v>
      </c>
      <c r="G228">
        <f t="shared" si="7"/>
        <v>43406</v>
      </c>
    </row>
    <row r="229" spans="1:7">
      <c r="A229" s="1">
        <v>43441</v>
      </c>
      <c r="B229">
        <v>198</v>
      </c>
      <c r="C229">
        <v>155</v>
      </c>
      <c r="D229" t="str">
        <f t="shared" si="6"/>
        <v>2018/12/07 14:30:00</v>
      </c>
      <c r="F229" t="str">
        <v>2018/12/07 14:30:00</v>
      </c>
      <c r="G229">
        <f t="shared" si="7"/>
        <v>43441</v>
      </c>
    </row>
    <row r="230" spans="1:7">
      <c r="A230" s="1">
        <v>43469</v>
      </c>
      <c r="B230">
        <v>184</v>
      </c>
      <c r="C230">
        <v>312</v>
      </c>
      <c r="D230" t="str">
        <f t="shared" si="6"/>
        <v>2019/01/04 14:30:00</v>
      </c>
      <c r="F230" t="str">
        <v>2019/01/04 14:30:00</v>
      </c>
      <c r="G230">
        <f t="shared" si="7"/>
        <v>43469</v>
      </c>
    </row>
    <row r="231" spans="1:7">
      <c r="A231" s="1">
        <v>43497</v>
      </c>
      <c r="B231">
        <v>165</v>
      </c>
      <c r="C231">
        <v>304</v>
      </c>
      <c r="D231" t="str">
        <f t="shared" si="6"/>
        <v>2019/02/01 14:30:00</v>
      </c>
      <c r="F231" t="str">
        <v>2019/02/01 14:30:00</v>
      </c>
      <c r="G231">
        <f t="shared" si="7"/>
        <v>43497</v>
      </c>
    </row>
    <row r="232" spans="1:7">
      <c r="A232" s="1">
        <v>43532</v>
      </c>
      <c r="B232">
        <v>180</v>
      </c>
      <c r="C232">
        <v>20</v>
      </c>
      <c r="D232" t="str">
        <f t="shared" si="6"/>
        <v>2019/03/08 14:30:00</v>
      </c>
      <c r="F232" t="str">
        <v>2019/03/08 14:30:00</v>
      </c>
      <c r="G232">
        <f t="shared" si="7"/>
        <v>43532</v>
      </c>
    </row>
    <row r="233" spans="1:7">
      <c r="A233" s="1">
        <v>43560</v>
      </c>
      <c r="B233">
        <v>177</v>
      </c>
      <c r="C233">
        <v>196</v>
      </c>
      <c r="D233" t="str">
        <f t="shared" si="6"/>
        <v>2019/04/05 14:30:00</v>
      </c>
      <c r="F233" t="str">
        <v>2019/04/05 14:30:00</v>
      </c>
      <c r="G233">
        <f t="shared" si="7"/>
        <v>43560</v>
      </c>
    </row>
    <row r="234" spans="1:7">
      <c r="A234" s="1">
        <v>43588</v>
      </c>
      <c r="B234">
        <v>190</v>
      </c>
      <c r="C234">
        <v>263</v>
      </c>
      <c r="D234" t="str">
        <f t="shared" si="6"/>
        <v>2019/05/03 14:30:00</v>
      </c>
      <c r="F234" t="str">
        <v>2019/05/03 14:30:00</v>
      </c>
      <c r="G234">
        <f t="shared" si="7"/>
        <v>43588</v>
      </c>
    </row>
    <row r="235" spans="1:7">
      <c r="A235" s="1">
        <v>43623</v>
      </c>
      <c r="B235">
        <v>175</v>
      </c>
      <c r="C235">
        <v>75</v>
      </c>
      <c r="D235" t="str">
        <f t="shared" si="6"/>
        <v>2019/06/07 14:30:00</v>
      </c>
      <c r="F235" t="str">
        <v>2019/06/07 14:30:00</v>
      </c>
      <c r="G235">
        <f t="shared" si="7"/>
        <v>43623</v>
      </c>
    </row>
    <row r="236" spans="1:7">
      <c r="A236" s="1">
        <v>43651</v>
      </c>
      <c r="B236">
        <v>160</v>
      </c>
      <c r="C236">
        <v>224</v>
      </c>
      <c r="D236" t="str">
        <f t="shared" si="6"/>
        <v>2019/07/05 14:30:00</v>
      </c>
      <c r="F236" t="str">
        <v>2019/07/05 14:30:00</v>
      </c>
      <c r="G236">
        <f t="shared" si="7"/>
        <v>43651</v>
      </c>
    </row>
    <row r="237" spans="1:7">
      <c r="A237" s="1">
        <v>43679</v>
      </c>
      <c r="B237">
        <v>165</v>
      </c>
      <c r="C237">
        <v>164</v>
      </c>
      <c r="D237" t="str">
        <f t="shared" si="6"/>
        <v>2019/08/02 14:30:00</v>
      </c>
      <c r="F237" t="str">
        <v>2019/08/02 14:30:00</v>
      </c>
      <c r="G237">
        <f t="shared" si="7"/>
        <v>43679</v>
      </c>
    </row>
    <row r="238" spans="1:7">
      <c r="A238" s="1">
        <v>43714</v>
      </c>
      <c r="B238">
        <v>160</v>
      </c>
      <c r="C238">
        <v>130</v>
      </c>
      <c r="D238" t="str">
        <f t="shared" si="6"/>
        <v>2019/09/06 14:30:00</v>
      </c>
      <c r="F238" t="str">
        <v>2019/09/06 14:30:00</v>
      </c>
      <c r="G238">
        <f t="shared" si="7"/>
        <v>43714</v>
      </c>
    </row>
    <row r="239" spans="1:7">
      <c r="A239" s="1">
        <v>43742</v>
      </c>
      <c r="B239">
        <v>145</v>
      </c>
      <c r="C239">
        <v>136</v>
      </c>
      <c r="D239" t="str">
        <f t="shared" si="6"/>
        <v>2019/10/04 14:30:00</v>
      </c>
      <c r="F239" t="str">
        <v>2019/10/04 14:30:00</v>
      </c>
      <c r="G239">
        <f t="shared" si="7"/>
        <v>43742</v>
      </c>
    </row>
    <row r="240" spans="1:7">
      <c r="A240" s="1">
        <v>43770</v>
      </c>
      <c r="B240">
        <v>85</v>
      </c>
      <c r="C240">
        <v>128</v>
      </c>
      <c r="D240" t="str">
        <f t="shared" si="6"/>
        <v>2019/11/01 13:30:00</v>
      </c>
      <c r="F240" t="str">
        <v>2019/11/01 13:30:00</v>
      </c>
      <c r="G240">
        <f t="shared" si="7"/>
        <v>43770</v>
      </c>
    </row>
    <row r="241" spans="1:7">
      <c r="A241" s="1">
        <v>43805</v>
      </c>
      <c r="B241">
        <v>180</v>
      </c>
      <c r="C241">
        <v>266</v>
      </c>
      <c r="D241" t="str">
        <f t="shared" si="6"/>
        <v>2019/12/06 14:30:00</v>
      </c>
      <c r="F241" t="str">
        <v>2019/12/06 14:30:00</v>
      </c>
      <c r="G241">
        <f t="shared" si="7"/>
        <v>43805</v>
      </c>
    </row>
    <row r="242" spans="1:7">
      <c r="A242" s="1">
        <v>43840</v>
      </c>
      <c r="B242">
        <v>160</v>
      </c>
      <c r="C242">
        <v>145</v>
      </c>
      <c r="D242" t="str">
        <f t="shared" si="6"/>
        <v>2020/01/10 14:30:00</v>
      </c>
      <c r="F242" t="str">
        <v>2020/01/10 14:30:00</v>
      </c>
      <c r="G242">
        <f t="shared" si="7"/>
        <v>43840</v>
      </c>
    </row>
    <row r="243" spans="1:7">
      <c r="A243" s="1">
        <v>43868</v>
      </c>
      <c r="B243">
        <v>165</v>
      </c>
      <c r="C243">
        <v>225</v>
      </c>
      <c r="D243" t="str">
        <f t="shared" si="6"/>
        <v>2020/02/07 14:30:00</v>
      </c>
      <c r="F243" t="str">
        <v>2020/02/07 14:30:00</v>
      </c>
      <c r="G243">
        <f t="shared" si="7"/>
        <v>43868</v>
      </c>
    </row>
    <row r="244" spans="1:7">
      <c r="A244" s="1">
        <v>43896</v>
      </c>
      <c r="B244">
        <v>175</v>
      </c>
      <c r="C244">
        <v>273</v>
      </c>
      <c r="D244" t="str">
        <f t="shared" si="6"/>
        <v>2020/03/06 14:30:00</v>
      </c>
      <c r="F244" t="str">
        <v>2020/03/06 14:30:00</v>
      </c>
      <c r="G244">
        <f t="shared" si="7"/>
        <v>43896</v>
      </c>
    </row>
    <row r="245" spans="1:7">
      <c r="A245" s="1">
        <v>43924</v>
      </c>
      <c r="B245">
        <v>-100</v>
      </c>
      <c r="C245">
        <v>-701</v>
      </c>
      <c r="D245" t="str">
        <f t="shared" si="6"/>
        <v>2020/04/03 14:30:00</v>
      </c>
      <c r="F245" t="str">
        <v>2020/04/03 14:30:00</v>
      </c>
      <c r="G245">
        <f t="shared" si="7"/>
        <v>43924</v>
      </c>
    </row>
    <row r="246" spans="1:7">
      <c r="A246" s="1">
        <v>43959</v>
      </c>
      <c r="B246">
        <v>-22000</v>
      </c>
      <c r="C246">
        <v>-20537</v>
      </c>
      <c r="D246" t="str">
        <f t="shared" si="6"/>
        <v>2020/05/08 14:30:00</v>
      </c>
      <c r="F246" t="str">
        <v>2020/05/08 14:30:00</v>
      </c>
      <c r="G246">
        <f t="shared" si="7"/>
        <v>43959</v>
      </c>
    </row>
    <row r="247" spans="1:7">
      <c r="A247" s="1">
        <v>43987</v>
      </c>
      <c r="B247">
        <v>-7500</v>
      </c>
      <c r="C247">
        <v>2509</v>
      </c>
      <c r="D247" t="str">
        <f t="shared" si="6"/>
        <v>2020/06/05 14:30:00</v>
      </c>
      <c r="F247" t="str">
        <v>2020/06/05 14:30:00</v>
      </c>
      <c r="G247">
        <f t="shared" si="7"/>
        <v>43987</v>
      </c>
    </row>
    <row r="248" spans="1:7">
      <c r="A248" s="1">
        <v>44014</v>
      </c>
      <c r="B248">
        <v>3230</v>
      </c>
      <c r="C248">
        <v>4800</v>
      </c>
      <c r="D248" t="str">
        <f t="shared" si="6"/>
        <v>2020/07/02 14:30:00</v>
      </c>
      <c r="F248" t="str">
        <v>2020/07/02 14:30:00</v>
      </c>
      <c r="G248">
        <f t="shared" si="7"/>
        <v>44014</v>
      </c>
    </row>
    <row r="249" spans="1:7">
      <c r="A249" s="1">
        <v>44050</v>
      </c>
      <c r="B249">
        <v>1480</v>
      </c>
      <c r="C249">
        <v>1763</v>
      </c>
      <c r="D249" t="str">
        <f t="shared" si="6"/>
        <v>2020/08/07 14:30:00</v>
      </c>
      <c r="F249" t="str">
        <v>2020/08/07 14:30:00</v>
      </c>
      <c r="G249">
        <f t="shared" si="7"/>
        <v>44050</v>
      </c>
    </row>
    <row r="250" spans="1:7">
      <c r="A250" s="1">
        <v>44078</v>
      </c>
      <c r="B250">
        <v>1350</v>
      </c>
      <c r="C250">
        <v>1371</v>
      </c>
      <c r="D250" t="str">
        <f t="shared" si="6"/>
        <v>2020/09/04 14:30:00</v>
      </c>
      <c r="F250" t="str">
        <v>2020/09/04 14:30:00</v>
      </c>
      <c r="G250">
        <f t="shared" si="7"/>
        <v>44078</v>
      </c>
    </row>
    <row r="251" spans="1:7">
      <c r="A251" s="1">
        <v>44106</v>
      </c>
      <c r="B251">
        <v>859</v>
      </c>
      <c r="C251">
        <v>661</v>
      </c>
      <c r="D251" t="str">
        <f t="shared" si="6"/>
        <v>2020/10/02 14:30:00</v>
      </c>
      <c r="F251" t="str">
        <v>2020/10/02 14:30:00</v>
      </c>
      <c r="G251">
        <f t="shared" si="7"/>
        <v>44106</v>
      </c>
    </row>
    <row r="252" spans="1:7">
      <c r="A252" s="1">
        <v>44141</v>
      </c>
      <c r="B252">
        <v>580</v>
      </c>
      <c r="C252">
        <v>638</v>
      </c>
      <c r="D252" t="str">
        <f t="shared" si="6"/>
        <v>2020/11/06 14:30:00</v>
      </c>
      <c r="F252" t="str">
        <v>2020/11/06 14:30:00</v>
      </c>
      <c r="G252">
        <f t="shared" si="7"/>
        <v>44141</v>
      </c>
    </row>
    <row r="253" spans="1:7">
      <c r="A253" s="1">
        <v>44169</v>
      </c>
      <c r="B253">
        <v>460</v>
      </c>
      <c r="C253">
        <v>245</v>
      </c>
      <c r="D253" t="str">
        <f t="shared" si="6"/>
        <v>2020/12/04 14:30:00</v>
      </c>
      <c r="F253" t="str">
        <v>2020/12/04 14:30:00</v>
      </c>
      <c r="G253">
        <f t="shared" si="7"/>
        <v>44169</v>
      </c>
    </row>
    <row r="254" spans="1:7">
      <c r="A254" s="1">
        <v>44204</v>
      </c>
      <c r="B254">
        <v>50</v>
      </c>
      <c r="C254">
        <v>-140</v>
      </c>
      <c r="D254" t="str">
        <f t="shared" si="6"/>
        <v>2021/01/08 14:30:00</v>
      </c>
      <c r="F254" t="str">
        <v>2021/01/08 14:30:00</v>
      </c>
      <c r="G254">
        <f t="shared" si="7"/>
        <v>44204</v>
      </c>
    </row>
    <row r="255" spans="1:7">
      <c r="A255" s="1">
        <v>44232</v>
      </c>
      <c r="B255">
        <v>105</v>
      </c>
      <c r="C255">
        <v>49</v>
      </c>
      <c r="D255" t="str">
        <f t="shared" si="6"/>
        <v>2021/02/05 14:30:00</v>
      </c>
      <c r="F255" t="str">
        <v>2021/02/05 14:30:00</v>
      </c>
      <c r="G255">
        <f t="shared" si="7"/>
        <v>44232</v>
      </c>
    </row>
    <row r="256" spans="1:7">
      <c r="A256" s="1">
        <v>44260</v>
      </c>
      <c r="B256">
        <v>200</v>
      </c>
      <c r="C256">
        <v>379</v>
      </c>
      <c r="D256" t="str">
        <f t="shared" si="6"/>
        <v>2021/03/05 14:30:00</v>
      </c>
      <c r="F256" t="str">
        <v>2021/03/05 14:30:00</v>
      </c>
      <c r="G256">
        <f t="shared" si="7"/>
        <v>44260</v>
      </c>
    </row>
    <row r="257" spans="1:7">
      <c r="A257" s="1">
        <v>44288</v>
      </c>
      <c r="B257">
        <v>660</v>
      </c>
      <c r="C257">
        <v>916</v>
      </c>
      <c r="D257" t="str">
        <f t="shared" si="6"/>
        <v>2021/04/02 14:30:00</v>
      </c>
      <c r="F257" t="str">
        <v>2021/04/02 14:30:00</v>
      </c>
      <c r="G257">
        <f t="shared" si="7"/>
        <v>44288</v>
      </c>
    </row>
    <row r="258" spans="1:7">
      <c r="A258" s="1">
        <v>44323</v>
      </c>
      <c r="B258">
        <v>1000</v>
      </c>
      <c r="C258">
        <v>266</v>
      </c>
      <c r="D258" t="str">
        <f t="shared" si="6"/>
        <v>2021/05/07 14:30:00</v>
      </c>
      <c r="F258" t="str">
        <v>2021/05/07 14:30:00</v>
      </c>
      <c r="G258">
        <f t="shared" si="7"/>
        <v>44323</v>
      </c>
    </row>
    <row r="259" spans="1:7">
      <c r="A259" s="1">
        <v>44351</v>
      </c>
      <c r="B259">
        <v>675</v>
      </c>
      <c r="C259">
        <v>559</v>
      </c>
      <c r="D259" t="str">
        <f t="shared" ref="D259:D315" si="8">_xlfn.XLOOKUP(A259,$G:$G,$F:$F,"")</f>
        <v>2021/06/04 14:30:00</v>
      </c>
      <c r="F259" t="str">
        <v>2021/06/04 14:30:00</v>
      </c>
      <c r="G259">
        <f t="shared" ref="G259:G322" si="9">INT(F259)</f>
        <v>44351</v>
      </c>
    </row>
    <row r="260" spans="1:7">
      <c r="A260" s="1">
        <v>44379</v>
      </c>
      <c r="B260">
        <v>720</v>
      </c>
      <c r="C260">
        <v>850</v>
      </c>
      <c r="D260" t="str">
        <f t="shared" si="8"/>
        <v>2021/07/02 14:30:00</v>
      </c>
      <c r="F260" t="str">
        <v>2021/07/02 14:30:00</v>
      </c>
      <c r="G260">
        <f t="shared" si="9"/>
        <v>44379</v>
      </c>
    </row>
    <row r="261" spans="1:7">
      <c r="A261" s="1">
        <v>44414</v>
      </c>
      <c r="B261">
        <v>870</v>
      </c>
      <c r="C261">
        <v>943</v>
      </c>
      <c r="D261" t="str">
        <f t="shared" si="8"/>
        <v>2021/08/06 14:30:00</v>
      </c>
      <c r="F261" t="str">
        <v>2021/08/06 14:30:00</v>
      </c>
      <c r="G261">
        <f t="shared" si="9"/>
        <v>44414</v>
      </c>
    </row>
    <row r="262" spans="1:7">
      <c r="A262" s="1">
        <v>44442</v>
      </c>
      <c r="B262">
        <v>733</v>
      </c>
      <c r="C262">
        <v>235</v>
      </c>
      <c r="D262" t="str">
        <f t="shared" si="8"/>
        <v>2021/09/03 14:30:00</v>
      </c>
      <c r="F262" t="str">
        <v>2021/09/03 14:30:00</v>
      </c>
      <c r="G262">
        <f t="shared" si="9"/>
        <v>44442</v>
      </c>
    </row>
    <row r="263" spans="1:7">
      <c r="A263" s="1">
        <v>44477</v>
      </c>
      <c r="B263">
        <v>500</v>
      </c>
      <c r="C263">
        <v>194</v>
      </c>
      <c r="D263" t="str">
        <f t="shared" si="8"/>
        <v>2021/10/08 14:30:00</v>
      </c>
      <c r="F263" t="str">
        <v>2021/10/08 14:30:00</v>
      </c>
      <c r="G263">
        <f t="shared" si="9"/>
        <v>44477</v>
      </c>
    </row>
    <row r="264" spans="1:7">
      <c r="A264" s="1">
        <v>44505</v>
      </c>
      <c r="B264">
        <v>450</v>
      </c>
      <c r="C264">
        <v>531</v>
      </c>
      <c r="D264" t="str">
        <f t="shared" si="8"/>
        <v>2021/11/05 13:30:00</v>
      </c>
      <c r="F264" t="str">
        <v>2021/11/05 13:30:00</v>
      </c>
      <c r="G264">
        <f t="shared" si="9"/>
        <v>44505</v>
      </c>
    </row>
    <row r="265" spans="1:7">
      <c r="A265" s="1">
        <v>44533</v>
      </c>
      <c r="B265">
        <v>550</v>
      </c>
      <c r="C265">
        <v>210</v>
      </c>
      <c r="D265" t="str">
        <f t="shared" si="8"/>
        <v>2021/12/03 14:30:00</v>
      </c>
      <c r="F265" t="str">
        <v>2021/12/03 14:30:00</v>
      </c>
      <c r="G265">
        <f t="shared" si="9"/>
        <v>44533</v>
      </c>
    </row>
    <row r="266" spans="1:7">
      <c r="A266" s="1">
        <v>44568</v>
      </c>
      <c r="B266">
        <v>450</v>
      </c>
      <c r="C266">
        <v>199</v>
      </c>
      <c r="D266" t="str">
        <f t="shared" si="8"/>
        <v>2022/01/07 14:30:00</v>
      </c>
      <c r="F266" t="str">
        <v>2022/01/07 14:30:00</v>
      </c>
      <c r="G266">
        <f t="shared" si="9"/>
        <v>44568</v>
      </c>
    </row>
    <row r="267" spans="1:7">
      <c r="A267" s="1">
        <v>44596</v>
      </c>
      <c r="B267">
        <v>125</v>
      </c>
      <c r="C267">
        <v>467</v>
      </c>
      <c r="D267" t="str">
        <f t="shared" si="8"/>
        <v>2022/02/04 14:30:00</v>
      </c>
      <c r="F267" t="str">
        <v>2022/02/04 14:30:00</v>
      </c>
      <c r="G267">
        <f t="shared" si="9"/>
        <v>44596</v>
      </c>
    </row>
    <row r="268" spans="1:7">
      <c r="A268" s="1">
        <v>44624</v>
      </c>
      <c r="B268">
        <v>423</v>
      </c>
      <c r="C268">
        <v>678</v>
      </c>
      <c r="D268" t="str">
        <f t="shared" si="8"/>
        <v>2022/03/04 14:30:00</v>
      </c>
      <c r="F268" t="str">
        <v>2022/03/04 14:30:00</v>
      </c>
      <c r="G268">
        <f t="shared" si="9"/>
        <v>44624</v>
      </c>
    </row>
    <row r="269" spans="1:7">
      <c r="A269" s="1">
        <v>44652</v>
      </c>
      <c r="B269">
        <v>490</v>
      </c>
      <c r="C269">
        <v>431</v>
      </c>
      <c r="D269" t="str">
        <f t="shared" si="8"/>
        <v>2022/04/01 14:30:00</v>
      </c>
      <c r="F269" t="str">
        <v>2022/04/01 14:30:00</v>
      </c>
      <c r="G269">
        <f t="shared" si="9"/>
        <v>44652</v>
      </c>
    </row>
    <row r="270" spans="1:7">
      <c r="A270" s="1">
        <v>44687</v>
      </c>
      <c r="B270">
        <v>380</v>
      </c>
      <c r="C270">
        <v>428</v>
      </c>
      <c r="D270" t="str">
        <f t="shared" si="8"/>
        <v>2022/05/06 14:30:00</v>
      </c>
      <c r="F270" t="str">
        <v>2022/05/06 14:30:00</v>
      </c>
      <c r="G270">
        <f t="shared" si="9"/>
        <v>44687</v>
      </c>
    </row>
    <row r="271" spans="1:7">
      <c r="A271" s="1">
        <v>44715</v>
      </c>
      <c r="B271">
        <v>318</v>
      </c>
      <c r="C271">
        <v>390</v>
      </c>
      <c r="D271" t="str">
        <f t="shared" si="8"/>
        <v>2022/06/03 14:30:00</v>
      </c>
      <c r="F271" t="str">
        <v>2022/06/03 14:30:00</v>
      </c>
      <c r="G271">
        <f t="shared" si="9"/>
        <v>44715</v>
      </c>
    </row>
    <row r="272" spans="1:7">
      <c r="A272" s="1">
        <v>44750</v>
      </c>
      <c r="B272">
        <v>265</v>
      </c>
      <c r="C272">
        <v>372</v>
      </c>
      <c r="D272" t="str">
        <f t="shared" si="8"/>
        <v>2022/07/08 14:30:00</v>
      </c>
      <c r="F272" t="str">
        <v>2022/07/08 14:30:00</v>
      </c>
      <c r="G272">
        <f t="shared" si="9"/>
        <v>44750</v>
      </c>
    </row>
    <row r="273" spans="1:7">
      <c r="A273" s="1">
        <v>44778</v>
      </c>
      <c r="B273">
        <v>250</v>
      </c>
      <c r="C273">
        <v>528</v>
      </c>
      <c r="D273" t="str">
        <f t="shared" si="8"/>
        <v>2022/08/05 14:30:00</v>
      </c>
      <c r="F273" t="str">
        <v>2022/08/05 14:30:00</v>
      </c>
      <c r="G273">
        <f t="shared" si="9"/>
        <v>44778</v>
      </c>
    </row>
    <row r="274" spans="1:7">
      <c r="A274" s="1">
        <v>44806</v>
      </c>
      <c r="B274">
        <v>298</v>
      </c>
      <c r="C274">
        <v>315</v>
      </c>
      <c r="D274" t="str">
        <f t="shared" si="8"/>
        <v>2022/09/02 14:30:00</v>
      </c>
      <c r="F274" t="str">
        <v>2022/09/02 14:30:00</v>
      </c>
      <c r="G274">
        <f t="shared" si="9"/>
        <v>44806</v>
      </c>
    </row>
    <row r="275" spans="1:7">
      <c r="A275" s="1">
        <v>44841</v>
      </c>
      <c r="B275">
        <v>255</v>
      </c>
      <c r="C275">
        <v>263</v>
      </c>
      <c r="D275" t="str">
        <f t="shared" si="8"/>
        <v>2022/10/07 14:30:00</v>
      </c>
      <c r="F275" t="str">
        <v>2022/10/07 14:30:00</v>
      </c>
      <c r="G275">
        <f t="shared" si="9"/>
        <v>44841</v>
      </c>
    </row>
    <row r="276" spans="1:7">
      <c r="A276" s="1">
        <v>44869</v>
      </c>
      <c r="B276">
        <v>193</v>
      </c>
      <c r="C276">
        <v>261</v>
      </c>
      <c r="D276" t="str">
        <f t="shared" si="8"/>
        <v>2022/11/04 13:30:00</v>
      </c>
      <c r="F276" t="str">
        <v>2022/11/04 13:30:00</v>
      </c>
      <c r="G276">
        <f t="shared" si="9"/>
        <v>44869</v>
      </c>
    </row>
    <row r="277" spans="1:7">
      <c r="A277" s="1">
        <v>44897</v>
      </c>
      <c r="B277">
        <v>200</v>
      </c>
      <c r="C277">
        <v>263</v>
      </c>
      <c r="D277" t="str">
        <f t="shared" si="8"/>
        <v>2022/12/02 14:30:00</v>
      </c>
      <c r="F277" t="str">
        <v>2022/12/02 14:30:00</v>
      </c>
      <c r="G277">
        <f t="shared" si="9"/>
        <v>44897</v>
      </c>
    </row>
    <row r="278" spans="1:7">
      <c r="A278" s="1">
        <v>44932</v>
      </c>
      <c r="B278">
        <v>205</v>
      </c>
      <c r="C278">
        <v>223</v>
      </c>
      <c r="D278" t="str">
        <f t="shared" si="8"/>
        <v>2023/01/06 14:30:00</v>
      </c>
      <c r="F278" t="str">
        <v>2023/01/06 14:30:00</v>
      </c>
      <c r="G278">
        <f t="shared" si="9"/>
        <v>44932</v>
      </c>
    </row>
    <row r="279" spans="1:7">
      <c r="A279" s="1">
        <v>44960</v>
      </c>
      <c r="B279">
        <v>189</v>
      </c>
      <c r="C279">
        <v>517</v>
      </c>
      <c r="D279" t="str">
        <f t="shared" si="8"/>
        <v>2023/02/03 14:30:00</v>
      </c>
      <c r="F279" t="str">
        <v>2023/02/03 14:30:00</v>
      </c>
      <c r="G279">
        <f t="shared" si="9"/>
        <v>44960</v>
      </c>
    </row>
    <row r="280" spans="1:7">
      <c r="A280" s="1">
        <v>44995</v>
      </c>
      <c r="B280">
        <v>225</v>
      </c>
      <c r="C280">
        <v>311</v>
      </c>
      <c r="D280" t="str">
        <f t="shared" si="8"/>
        <v>2023/03/10 14:30:00</v>
      </c>
      <c r="F280" t="str">
        <v>2023/03/10 14:30:00</v>
      </c>
      <c r="G280">
        <f t="shared" si="9"/>
        <v>44995</v>
      </c>
    </row>
    <row r="281" spans="1:7">
      <c r="A281" s="1">
        <v>45023</v>
      </c>
      <c r="B281">
        <v>230</v>
      </c>
      <c r="C281">
        <v>236</v>
      </c>
      <c r="D281" t="str">
        <f t="shared" si="8"/>
        <v>2023/04/07 14:30:00</v>
      </c>
      <c r="F281" t="str">
        <v>2023/04/07 14:30:00</v>
      </c>
      <c r="G281">
        <f t="shared" si="9"/>
        <v>45023</v>
      </c>
    </row>
    <row r="282" spans="1:7">
      <c r="A282" s="1">
        <v>45051</v>
      </c>
      <c r="B282">
        <v>185</v>
      </c>
      <c r="C282">
        <v>253</v>
      </c>
      <c r="D282" t="str">
        <f t="shared" si="8"/>
        <v>2023/05/05 14:30:00</v>
      </c>
      <c r="F282" t="str">
        <v>2023/05/05 14:30:00</v>
      </c>
      <c r="G282">
        <f t="shared" si="9"/>
        <v>45051</v>
      </c>
    </row>
    <row r="283" spans="1:7">
      <c r="A283" s="1">
        <v>45079</v>
      </c>
      <c r="B283">
        <v>195</v>
      </c>
      <c r="C283">
        <v>339</v>
      </c>
      <c r="D283" t="str">
        <f t="shared" si="8"/>
        <v>2023/06/02 14:30:00</v>
      </c>
      <c r="F283" t="str">
        <v>2023/06/02 14:30:00</v>
      </c>
      <c r="G283">
        <f t="shared" si="9"/>
        <v>45079</v>
      </c>
    </row>
    <row r="284" spans="1:7">
      <c r="A284" s="1">
        <v>45114</v>
      </c>
      <c r="B284">
        <v>230</v>
      </c>
      <c r="C284">
        <v>209</v>
      </c>
      <c r="D284" t="str">
        <f t="shared" si="8"/>
        <v>2023/07/07 14:30:00</v>
      </c>
      <c r="F284" t="str">
        <v>2023/07/07 14:30:00</v>
      </c>
      <c r="G284">
        <f t="shared" si="9"/>
        <v>45114</v>
      </c>
    </row>
    <row r="285" spans="1:7">
      <c r="A285" s="1">
        <v>45142</v>
      </c>
      <c r="B285">
        <v>200</v>
      </c>
      <c r="C285">
        <v>187</v>
      </c>
      <c r="D285" t="str">
        <f t="shared" si="8"/>
        <v>2023/08/04 14:30:00</v>
      </c>
      <c r="F285" t="str">
        <v>2023/08/04 14:30:00</v>
      </c>
      <c r="G285">
        <f t="shared" si="9"/>
        <v>45142</v>
      </c>
    </row>
    <row r="286" spans="1:7">
      <c r="A286" s="1">
        <v>45170</v>
      </c>
      <c r="B286">
        <v>170</v>
      </c>
      <c r="C286">
        <v>187</v>
      </c>
      <c r="D286" t="str">
        <f t="shared" si="8"/>
        <v>2023/09/01 14:30:00</v>
      </c>
      <c r="F286" t="str">
        <v>2023/09/01 14:30:00</v>
      </c>
      <c r="G286">
        <f t="shared" si="9"/>
        <v>45170</v>
      </c>
    </row>
    <row r="287" spans="1:7">
      <c r="A287" s="1">
        <v>45205</v>
      </c>
      <c r="B287">
        <v>170</v>
      </c>
      <c r="C287">
        <v>336</v>
      </c>
      <c r="D287" t="str">
        <f t="shared" si="8"/>
        <v>2023/10/06 14:30:00</v>
      </c>
      <c r="F287" t="str">
        <v>2023/10/06 14:30:00</v>
      </c>
      <c r="G287">
        <f t="shared" si="9"/>
        <v>45205</v>
      </c>
    </row>
    <row r="288" spans="1:7">
      <c r="A288" s="1">
        <v>45233</v>
      </c>
      <c r="B288">
        <v>180</v>
      </c>
      <c r="C288">
        <v>150</v>
      </c>
      <c r="D288" t="str">
        <f t="shared" si="8"/>
        <v>2023/11/03 13:30:00</v>
      </c>
      <c r="F288" t="str">
        <v>2023/11/03 13:30:00</v>
      </c>
      <c r="G288">
        <f t="shared" si="9"/>
        <v>45233</v>
      </c>
    </row>
    <row r="289" spans="1:7">
      <c r="A289" s="1">
        <v>45268</v>
      </c>
      <c r="B289">
        <v>185</v>
      </c>
      <c r="C289">
        <v>199</v>
      </c>
      <c r="D289" t="str">
        <f t="shared" si="8"/>
        <v>2023/12/08 14:30:00</v>
      </c>
      <c r="F289" t="str">
        <v>2023/12/08 14:30:00</v>
      </c>
      <c r="G289">
        <f t="shared" si="9"/>
        <v>45268</v>
      </c>
    </row>
    <row r="290" spans="1:7">
      <c r="A290" s="1">
        <v>45296</v>
      </c>
      <c r="B290">
        <v>175</v>
      </c>
      <c r="C290">
        <v>216</v>
      </c>
      <c r="D290" t="str">
        <f t="shared" si="8"/>
        <v>2024/01/05 14:30:00</v>
      </c>
      <c r="F290" t="str">
        <v>2024/01/05 14:30:00</v>
      </c>
      <c r="G290">
        <f t="shared" si="9"/>
        <v>45296</v>
      </c>
    </row>
    <row r="291" spans="1:7">
      <c r="A291" s="1">
        <v>45324</v>
      </c>
      <c r="B291">
        <v>185</v>
      </c>
      <c r="C291">
        <v>353</v>
      </c>
      <c r="D291" t="str">
        <f t="shared" si="8"/>
        <v>2024/02/02 14:30:00</v>
      </c>
      <c r="F291" t="str">
        <v>2024/02/02 14:30:00</v>
      </c>
      <c r="G291">
        <f t="shared" si="9"/>
        <v>45324</v>
      </c>
    </row>
    <row r="292" spans="1:7">
      <c r="A292" s="1">
        <v>45359</v>
      </c>
      <c r="B292">
        <v>200</v>
      </c>
      <c r="C292">
        <v>275</v>
      </c>
      <c r="D292" t="str">
        <f t="shared" si="8"/>
        <v>2024/03/08 14:30:00</v>
      </c>
      <c r="F292" t="str">
        <v>2024/03/08 14:30:00</v>
      </c>
      <c r="G292">
        <f t="shared" si="9"/>
        <v>45359</v>
      </c>
    </row>
    <row r="293" spans="1:7">
      <c r="A293" s="1">
        <v>45387</v>
      </c>
      <c r="B293">
        <v>214</v>
      </c>
      <c r="C293">
        <v>303</v>
      </c>
      <c r="D293" t="str">
        <f t="shared" si="8"/>
        <v>2024/04/05 14:30:00</v>
      </c>
      <c r="F293" t="str">
        <v>2024/04/05 14:30:00</v>
      </c>
      <c r="G293">
        <f t="shared" si="9"/>
        <v>45387</v>
      </c>
    </row>
    <row r="294" spans="1:7">
      <c r="A294" s="1">
        <v>45415</v>
      </c>
      <c r="B294">
        <v>240</v>
      </c>
      <c r="C294">
        <v>175</v>
      </c>
      <c r="D294" t="str">
        <f t="shared" si="8"/>
        <v>2024/05/03 14:30:00</v>
      </c>
      <c r="F294" t="str">
        <v>2024/05/03 14:30:00</v>
      </c>
      <c r="G294">
        <f t="shared" si="9"/>
        <v>45415</v>
      </c>
    </row>
    <row r="295" spans="1:7">
      <c r="A295" s="1">
        <v>45450</v>
      </c>
      <c r="B295">
        <v>180</v>
      </c>
      <c r="C295">
        <v>272</v>
      </c>
      <c r="D295" t="str">
        <f t="shared" si="8"/>
        <v>2024/06/07 14:30:00</v>
      </c>
      <c r="F295" t="str">
        <v>2024/06/07 14:30:00</v>
      </c>
      <c r="G295">
        <f t="shared" si="9"/>
        <v>45450</v>
      </c>
    </row>
    <row r="296" spans="1:7">
      <c r="A296" s="1">
        <v>45478</v>
      </c>
      <c r="B296">
        <v>190</v>
      </c>
      <c r="C296">
        <v>206</v>
      </c>
      <c r="D296" t="str">
        <f t="shared" si="8"/>
        <v>2024/07/05 14:30:00</v>
      </c>
      <c r="F296" t="str">
        <v>2024/07/05 14:30:00</v>
      </c>
      <c r="G296">
        <f t="shared" si="9"/>
        <v>45478</v>
      </c>
    </row>
    <row r="297" spans="1:7">
      <c r="A297" s="1">
        <v>45506</v>
      </c>
      <c r="B297">
        <v>175</v>
      </c>
      <c r="C297">
        <v>114</v>
      </c>
      <c r="D297" t="str">
        <f t="shared" si="8"/>
        <v>2024/08/02 14:30:00</v>
      </c>
      <c r="F297" t="str">
        <v>2024/08/02 14:30:00</v>
      </c>
      <c r="G297">
        <f t="shared" si="9"/>
        <v>45506</v>
      </c>
    </row>
    <row r="298" spans="1:7">
      <c r="A298" s="1">
        <v>45541</v>
      </c>
      <c r="B298">
        <v>165</v>
      </c>
      <c r="C298">
        <v>142</v>
      </c>
      <c r="D298" t="str">
        <f t="shared" si="8"/>
        <v>2024/09/06 14:30:00</v>
      </c>
      <c r="F298" t="str">
        <v>2024/09/06 14:30:00</v>
      </c>
      <c r="G298">
        <f t="shared" si="9"/>
        <v>45541</v>
      </c>
    </row>
    <row r="299" spans="1:7">
      <c r="A299" s="1">
        <v>45569</v>
      </c>
      <c r="B299">
        <v>150</v>
      </c>
      <c r="C299">
        <v>254</v>
      </c>
      <c r="D299" t="str">
        <f t="shared" si="8"/>
        <v>2024/10/04 14:30:00</v>
      </c>
      <c r="F299" t="str">
        <v>2024/10/04 14:30:00</v>
      </c>
      <c r="G299">
        <f t="shared" si="9"/>
        <v>45569</v>
      </c>
    </row>
    <row r="300" spans="1:7">
      <c r="A300" s="1">
        <v>45597</v>
      </c>
      <c r="B300">
        <v>100</v>
      </c>
      <c r="C300">
        <v>12</v>
      </c>
      <c r="D300" t="str">
        <f t="shared" si="8"/>
        <v>2024/11/01 13:30:00</v>
      </c>
      <c r="F300" t="str">
        <v>2024/11/01 13:30:00</v>
      </c>
      <c r="G300">
        <f t="shared" si="9"/>
        <v>45597</v>
      </c>
    </row>
    <row r="301" spans="1:7">
      <c r="A301" s="1">
        <v>45632</v>
      </c>
      <c r="B301">
        <v>220</v>
      </c>
      <c r="C301">
        <v>227</v>
      </c>
      <c r="D301" t="str">
        <f t="shared" si="8"/>
        <v>2024/12/06 14:30:00</v>
      </c>
      <c r="F301" t="str">
        <v>2024/12/06 14:30:00</v>
      </c>
      <c r="G301">
        <f t="shared" si="9"/>
        <v>45632</v>
      </c>
    </row>
    <row r="302" spans="1:7">
      <c r="A302" s="1">
        <v>45667</v>
      </c>
      <c r="B302">
        <v>165</v>
      </c>
      <c r="C302">
        <v>256</v>
      </c>
      <c r="D302" t="str">
        <f t="shared" si="8"/>
        <v>2025/01/10 14:30:00</v>
      </c>
      <c r="F302" t="str">
        <v>2025/01/10 14:30:00</v>
      </c>
      <c r="G302">
        <f t="shared" si="9"/>
        <v>45667</v>
      </c>
    </row>
    <row r="303" spans="1:7">
      <c r="A303" s="1">
        <v>45695</v>
      </c>
      <c r="B303">
        <v>175</v>
      </c>
      <c r="C303">
        <v>143</v>
      </c>
      <c r="D303" t="str">
        <f t="shared" si="8"/>
        <v>2025/02/07 14:30:00</v>
      </c>
      <c r="F303" t="str">
        <v>2025/02/07 14:30:00</v>
      </c>
      <c r="G303">
        <f t="shared" si="9"/>
        <v>45695</v>
      </c>
    </row>
    <row r="304" spans="1:7">
      <c r="A304" s="1">
        <v>45723</v>
      </c>
      <c r="B304">
        <v>160</v>
      </c>
      <c r="C304">
        <v>151</v>
      </c>
      <c r="D304" t="str">
        <f t="shared" si="8"/>
        <v>2025/03/07 14:30:00</v>
      </c>
      <c r="F304" t="str">
        <v>2025/03/07 14:30:00</v>
      </c>
      <c r="G304">
        <f t="shared" si="9"/>
        <v>45723</v>
      </c>
    </row>
    <row r="305" spans="1:7">
      <c r="A305" s="1">
        <v>45751</v>
      </c>
      <c r="B305">
        <v>140</v>
      </c>
      <c r="C305">
        <v>228</v>
      </c>
      <c r="D305" t="str">
        <f t="shared" si="8"/>
        <v>2025/04/04 14:30:00</v>
      </c>
      <c r="F305" t="str">
        <v>2025/04/04 14:30:00</v>
      </c>
      <c r="G305">
        <f t="shared" si="9"/>
        <v>45751</v>
      </c>
    </row>
    <row r="306" spans="1:7">
      <c r="A306" s="1">
        <v>45779</v>
      </c>
      <c r="B306">
        <v>138</v>
      </c>
      <c r="C306">
        <v>177</v>
      </c>
      <c r="D306" t="str">
        <f t="shared" si="8"/>
        <v>2025/05/02 14:30:00</v>
      </c>
      <c r="F306" t="str">
        <v>2025/05/02 14:30:00</v>
      </c>
      <c r="G306">
        <f t="shared" si="9"/>
        <v>45779</v>
      </c>
    </row>
    <row r="307" spans="1:7">
      <c r="A307" s="1">
        <v>45814</v>
      </c>
      <c r="B307">
        <v>126</v>
      </c>
      <c r="C307">
        <v>139</v>
      </c>
      <c r="D307" t="str">
        <f t="shared" si="8"/>
        <v>2025/06/06 14:30:00</v>
      </c>
      <c r="F307" t="str">
        <v>2025/06/06 14:30:00</v>
      </c>
      <c r="G307">
        <f t="shared" si="9"/>
        <v>45814</v>
      </c>
    </row>
    <row r="308" spans="1:7">
      <c r="A308" s="1">
        <v>45841</v>
      </c>
      <c r="B308">
        <v>106</v>
      </c>
      <c r="C308">
        <v>147</v>
      </c>
      <c r="D308" t="str">
        <f t="shared" si="8"/>
        <v>2025/07/03 14:30:00</v>
      </c>
      <c r="F308" t="str">
        <v>2025/07/03 14:30:00</v>
      </c>
      <c r="G308">
        <f t="shared" si="9"/>
        <v>45841</v>
      </c>
    </row>
    <row r="309" spans="1:7">
      <c r="A309" s="1">
        <v>45870</v>
      </c>
      <c r="B309">
        <v>105</v>
      </c>
      <c r="C309">
        <v>73</v>
      </c>
      <c r="D309" t="str">
        <f t="shared" si="8"/>
        <v>2025/08/01 14:30:00</v>
      </c>
      <c r="F309" t="str">
        <v>2025/08/01 14:30:00</v>
      </c>
      <c r="G309">
        <f t="shared" si="9"/>
        <v>45870</v>
      </c>
    </row>
    <row r="310" spans="1:7">
      <c r="A310" s="1">
        <v>45905</v>
      </c>
      <c r="B310">
        <v>75</v>
      </c>
      <c r="C310">
        <v>22</v>
      </c>
      <c r="D310" t="str">
        <f t="shared" si="8"/>
        <v>2025/09/05 14:30:00</v>
      </c>
      <c r="F310" t="str">
        <v>2025/09/05 14:30:00</v>
      </c>
      <c r="G310">
        <f t="shared" si="9"/>
        <v>45905</v>
      </c>
    </row>
    <row r="311" spans="1:7">
      <c r="A311" s="1">
        <v>45981</v>
      </c>
      <c r="B311">
        <v>52</v>
      </c>
      <c r="C311">
        <v>119</v>
      </c>
      <c r="D311" t="str">
        <f t="shared" si="8"/>
        <v>2025/11/20 14:30:00</v>
      </c>
      <c r="F311" t="str">
        <v>2025/11/20 14:30:00</v>
      </c>
      <c r="G311">
        <f t="shared" si="9"/>
        <v>45981</v>
      </c>
    </row>
    <row r="312" spans="1:7">
      <c r="A312" s="1">
        <v>46007</v>
      </c>
      <c r="B312">
        <v>50</v>
      </c>
      <c r="C312">
        <v>64</v>
      </c>
      <c r="D312" t="str">
        <f t="shared" si="8"/>
        <v>2025/12/16 14:30:00</v>
      </c>
      <c r="F312" t="str">
        <v>2025/12/16 14:30:00</v>
      </c>
      <c r="G312">
        <f t="shared" si="9"/>
        <v>46007</v>
      </c>
    </row>
    <row r="313" spans="1:7">
      <c r="A313" s="1">
        <v>46031</v>
      </c>
      <c r="B313">
        <v>70</v>
      </c>
      <c r="C313">
        <v>50</v>
      </c>
      <c r="D313" t="str">
        <f t="shared" si="8"/>
        <v>2026/01/09 14:30:00</v>
      </c>
      <c r="F313" t="str">
        <v>2025/12/16 14:30:00</v>
      </c>
      <c r="G313">
        <f t="shared" si="9"/>
        <v>46007</v>
      </c>
    </row>
    <row r="314" spans="1:7">
      <c r="A314" s="1">
        <v>46064</v>
      </c>
      <c r="B314">
        <v>65</v>
      </c>
      <c r="C314">
        <v>130</v>
      </c>
      <c r="D314" t="str">
        <f t="shared" si="8"/>
        <v>2026/02/11 14:30:00</v>
      </c>
      <c r="F314" t="str">
        <v>2026/01/09 14:30:00</v>
      </c>
      <c r="G314">
        <f t="shared" si="9"/>
        <v>46031</v>
      </c>
    </row>
    <row r="315" spans="1:7">
      <c r="A315" s="1">
        <v>46087</v>
      </c>
      <c r="B315">
        <v>55</v>
      </c>
      <c r="C315">
        <v>-92</v>
      </c>
      <c r="D315" t="str">
        <f t="shared" si="8"/>
        <v>2026/03/06 14:30:00</v>
      </c>
      <c r="F315" t="str">
        <v>2026/02/11 14:30:00</v>
      </c>
      <c r="G315">
        <f t="shared" si="9"/>
        <v>46064</v>
      </c>
    </row>
    <row r="316" spans="1:7">
      <c r="A316" s="1"/>
      <c r="F316" t="str">
        <v>2026/03/06 14:30:00</v>
      </c>
      <c r="G316">
        <f t="shared" si="9"/>
        <v>46087</v>
      </c>
    </row>
    <row r="317" spans="1:7">
      <c r="A317" s="1"/>
      <c r="G317">
        <f t="shared" si="9"/>
        <v>0</v>
      </c>
    </row>
    <row r="318" spans="1:7">
      <c r="A318" s="1"/>
      <c r="G318">
        <f t="shared" si="9"/>
        <v>0</v>
      </c>
    </row>
    <row r="319" spans="1:7">
      <c r="A319" s="1"/>
      <c r="G319">
        <f t="shared" si="9"/>
        <v>0</v>
      </c>
    </row>
    <row r="320" spans="1:7">
      <c r="A320" s="1"/>
      <c r="G320">
        <f t="shared" si="9"/>
        <v>0</v>
      </c>
    </row>
    <row r="321" spans="1:7">
      <c r="A321" s="1"/>
      <c r="G321">
        <f t="shared" si="9"/>
        <v>0</v>
      </c>
    </row>
    <row r="322" spans="1:7">
      <c r="A322" s="1"/>
      <c r="G322">
        <f t="shared" si="9"/>
        <v>0</v>
      </c>
    </row>
    <row r="323" spans="1:7">
      <c r="A323" s="1"/>
      <c r="G323">
        <f t="shared" ref="G323:G386" si="10">INT(F323)</f>
        <v>0</v>
      </c>
    </row>
    <row r="324" spans="1:7">
      <c r="A324" s="1"/>
      <c r="G324">
        <f t="shared" si="10"/>
        <v>0</v>
      </c>
    </row>
    <row r="325" spans="1:7">
      <c r="A325" s="1"/>
      <c r="G325">
        <f t="shared" si="10"/>
        <v>0</v>
      </c>
    </row>
    <row r="326" spans="1:7">
      <c r="A326" s="1"/>
      <c r="G326">
        <f t="shared" si="10"/>
        <v>0</v>
      </c>
    </row>
    <row r="327" spans="1:7">
      <c r="A327" s="1"/>
      <c r="G327">
        <f t="shared" si="10"/>
        <v>0</v>
      </c>
    </row>
    <row r="328" spans="1:7">
      <c r="A328" s="1"/>
      <c r="G328">
        <f t="shared" si="10"/>
        <v>0</v>
      </c>
    </row>
    <row r="329" spans="1:7">
      <c r="A329" s="1"/>
      <c r="G329">
        <f t="shared" si="10"/>
        <v>0</v>
      </c>
    </row>
    <row r="330" spans="1:7">
      <c r="A330" s="1"/>
      <c r="G330">
        <f t="shared" si="10"/>
        <v>0</v>
      </c>
    </row>
    <row r="331" spans="1:7">
      <c r="A331" s="1"/>
      <c r="G331">
        <f t="shared" si="10"/>
        <v>0</v>
      </c>
    </row>
    <row r="332" spans="1:7">
      <c r="A332" s="1"/>
      <c r="G332">
        <f t="shared" si="10"/>
        <v>0</v>
      </c>
    </row>
    <row r="333" spans="1:7">
      <c r="A333" s="1"/>
      <c r="G333">
        <f t="shared" si="10"/>
        <v>0</v>
      </c>
    </row>
    <row r="334" spans="1:7">
      <c r="A334" s="1"/>
      <c r="G334">
        <f t="shared" si="10"/>
        <v>0</v>
      </c>
    </row>
    <row r="335" spans="1:7">
      <c r="A335" s="1"/>
      <c r="G335">
        <f t="shared" si="10"/>
        <v>0</v>
      </c>
    </row>
    <row r="336" spans="1:7">
      <c r="A336" s="1"/>
      <c r="G336">
        <f t="shared" si="10"/>
        <v>0</v>
      </c>
    </row>
    <row r="337" spans="1:7">
      <c r="A337" s="1"/>
      <c r="G337">
        <f t="shared" si="10"/>
        <v>0</v>
      </c>
    </row>
    <row r="338" spans="1:7">
      <c r="A338" s="1"/>
      <c r="G338">
        <f t="shared" si="10"/>
        <v>0</v>
      </c>
    </row>
    <row r="339" spans="1:7">
      <c r="A339" s="1"/>
      <c r="G339">
        <f t="shared" si="10"/>
        <v>0</v>
      </c>
    </row>
    <row r="340" spans="1:7">
      <c r="A340" s="1"/>
      <c r="G340">
        <f t="shared" si="10"/>
        <v>0</v>
      </c>
    </row>
    <row r="341" spans="1:7">
      <c r="A341" s="1"/>
      <c r="G341">
        <f t="shared" si="10"/>
        <v>0</v>
      </c>
    </row>
    <row r="342" spans="1:7">
      <c r="A342" s="1"/>
      <c r="G342">
        <f t="shared" si="10"/>
        <v>0</v>
      </c>
    </row>
    <row r="343" spans="1:7">
      <c r="A343" s="1"/>
      <c r="G343">
        <f t="shared" si="10"/>
        <v>0</v>
      </c>
    </row>
    <row r="344" spans="1:7">
      <c r="A344" s="1"/>
      <c r="G344">
        <f t="shared" si="10"/>
        <v>0</v>
      </c>
    </row>
    <row r="345" spans="1:7">
      <c r="A345" s="1"/>
      <c r="G345">
        <f t="shared" si="10"/>
        <v>0</v>
      </c>
    </row>
    <row r="346" spans="1:7">
      <c r="A346" s="1"/>
      <c r="G346">
        <f t="shared" si="10"/>
        <v>0</v>
      </c>
    </row>
    <row r="347" spans="1:7">
      <c r="A347" s="1"/>
      <c r="G347">
        <f t="shared" si="10"/>
        <v>0</v>
      </c>
    </row>
    <row r="348" spans="1:7">
      <c r="A348" s="1"/>
      <c r="G348">
        <f t="shared" si="10"/>
        <v>0</v>
      </c>
    </row>
    <row r="349" spans="1:7">
      <c r="A349" s="1"/>
      <c r="G349">
        <f t="shared" si="10"/>
        <v>0</v>
      </c>
    </row>
    <row r="350" spans="1:7">
      <c r="A350" s="1"/>
      <c r="G350">
        <f t="shared" si="10"/>
        <v>0</v>
      </c>
    </row>
    <row r="351" spans="1:7">
      <c r="A351" s="1"/>
      <c r="G351">
        <f t="shared" si="10"/>
        <v>0</v>
      </c>
    </row>
    <row r="352" spans="1:7">
      <c r="A352" s="1"/>
      <c r="G352">
        <f t="shared" si="10"/>
        <v>0</v>
      </c>
    </row>
    <row r="353" spans="1:7">
      <c r="A353" s="1"/>
      <c r="G353">
        <f t="shared" si="10"/>
        <v>0</v>
      </c>
    </row>
    <row r="354" spans="1:7">
      <c r="A354" s="1"/>
      <c r="G354">
        <f t="shared" si="10"/>
        <v>0</v>
      </c>
    </row>
    <row r="355" spans="1:7">
      <c r="A355" s="1"/>
      <c r="G355">
        <f t="shared" si="10"/>
        <v>0</v>
      </c>
    </row>
    <row r="356" spans="1:7">
      <c r="A356" s="1"/>
      <c r="G356">
        <f t="shared" si="10"/>
        <v>0</v>
      </c>
    </row>
    <row r="357" spans="1:7">
      <c r="A357" s="1"/>
      <c r="G357">
        <f t="shared" si="10"/>
        <v>0</v>
      </c>
    </row>
    <row r="358" spans="1:7">
      <c r="A358" s="1"/>
      <c r="G358">
        <f t="shared" si="10"/>
        <v>0</v>
      </c>
    </row>
    <row r="359" spans="1:7">
      <c r="A359" s="1"/>
      <c r="G359">
        <f t="shared" si="10"/>
        <v>0</v>
      </c>
    </row>
    <row r="360" spans="1:7">
      <c r="A360" s="1"/>
      <c r="G360">
        <f t="shared" si="10"/>
        <v>0</v>
      </c>
    </row>
    <row r="361" spans="1:7">
      <c r="A361" s="1"/>
      <c r="G361">
        <f t="shared" si="10"/>
        <v>0</v>
      </c>
    </row>
    <row r="362" spans="1:7">
      <c r="A362" s="1"/>
      <c r="G362">
        <f t="shared" si="10"/>
        <v>0</v>
      </c>
    </row>
    <row r="363" spans="1:7">
      <c r="A363" s="1"/>
      <c r="G363">
        <f t="shared" si="10"/>
        <v>0</v>
      </c>
    </row>
    <row r="364" spans="1:7">
      <c r="A364" s="1"/>
      <c r="G364">
        <f t="shared" si="10"/>
        <v>0</v>
      </c>
    </row>
    <row r="365" spans="1:7">
      <c r="A365" s="1"/>
      <c r="G365">
        <f t="shared" si="10"/>
        <v>0</v>
      </c>
    </row>
    <row r="366" spans="1:7">
      <c r="A366" s="1"/>
      <c r="G366">
        <f t="shared" si="10"/>
        <v>0</v>
      </c>
    </row>
    <row r="367" spans="1:7">
      <c r="A367" s="1"/>
      <c r="G367">
        <f t="shared" si="10"/>
        <v>0</v>
      </c>
    </row>
    <row r="368" spans="1:7">
      <c r="A368" s="1"/>
      <c r="G368">
        <f t="shared" si="10"/>
        <v>0</v>
      </c>
    </row>
    <row r="369" spans="1:7">
      <c r="A369" s="1"/>
      <c r="G369">
        <f t="shared" si="10"/>
        <v>0</v>
      </c>
    </row>
    <row r="370" spans="1:7">
      <c r="A370" s="1"/>
      <c r="G370">
        <f t="shared" si="10"/>
        <v>0</v>
      </c>
    </row>
    <row r="371" spans="1:7">
      <c r="A371" s="1"/>
      <c r="G371">
        <f t="shared" si="10"/>
        <v>0</v>
      </c>
    </row>
    <row r="372" spans="1:7">
      <c r="A372" s="1"/>
      <c r="G372">
        <f t="shared" si="10"/>
        <v>0</v>
      </c>
    </row>
    <row r="373" spans="1:7">
      <c r="A373" s="1"/>
      <c r="G373">
        <f t="shared" si="10"/>
        <v>0</v>
      </c>
    </row>
    <row r="374" spans="1:7">
      <c r="A374" s="1"/>
      <c r="G374">
        <f t="shared" si="10"/>
        <v>0</v>
      </c>
    </row>
    <row r="375" spans="1:7">
      <c r="A375" s="1"/>
      <c r="G375">
        <f t="shared" si="10"/>
        <v>0</v>
      </c>
    </row>
    <row r="376" spans="1:7">
      <c r="A376" s="1"/>
      <c r="G376">
        <f t="shared" si="10"/>
        <v>0</v>
      </c>
    </row>
    <row r="377" spans="1:7">
      <c r="A377" s="1"/>
      <c r="G377">
        <f t="shared" si="10"/>
        <v>0</v>
      </c>
    </row>
    <row r="378" spans="1:7">
      <c r="A378" s="1"/>
      <c r="G378">
        <f t="shared" si="10"/>
        <v>0</v>
      </c>
    </row>
    <row r="379" spans="1:7">
      <c r="A379" s="1"/>
      <c r="G379">
        <f t="shared" si="10"/>
        <v>0</v>
      </c>
    </row>
    <row r="380" spans="1:7">
      <c r="A380" s="1"/>
      <c r="G380">
        <f t="shared" si="10"/>
        <v>0</v>
      </c>
    </row>
    <row r="381" spans="1:7">
      <c r="A381" s="1"/>
      <c r="G381">
        <f t="shared" si="10"/>
        <v>0</v>
      </c>
    </row>
    <row r="382" spans="1:7">
      <c r="A382" s="1"/>
      <c r="G382">
        <f t="shared" si="10"/>
        <v>0</v>
      </c>
    </row>
    <row r="383" spans="1:7">
      <c r="A383" s="1"/>
      <c r="G383">
        <f t="shared" si="10"/>
        <v>0</v>
      </c>
    </row>
    <row r="384" spans="1:7">
      <c r="A384" s="1"/>
      <c r="G384">
        <f t="shared" si="10"/>
        <v>0</v>
      </c>
    </row>
    <row r="385" spans="1:7">
      <c r="A385" s="1"/>
      <c r="G385">
        <f t="shared" si="10"/>
        <v>0</v>
      </c>
    </row>
    <row r="386" spans="1:7">
      <c r="A386" s="1"/>
      <c r="G386">
        <f t="shared" si="10"/>
        <v>0</v>
      </c>
    </row>
    <row r="387" spans="1:7">
      <c r="A387" s="1"/>
      <c r="G387">
        <f t="shared" ref="G387:G450" si="11">INT(F387)</f>
        <v>0</v>
      </c>
    </row>
    <row r="388" spans="1:7">
      <c r="A388" s="1"/>
      <c r="G388">
        <f t="shared" si="11"/>
        <v>0</v>
      </c>
    </row>
    <row r="389" spans="1:7">
      <c r="A389" s="1"/>
      <c r="G389">
        <f t="shared" si="11"/>
        <v>0</v>
      </c>
    </row>
    <row r="390" spans="1:7">
      <c r="A390" s="1"/>
      <c r="G390">
        <f t="shared" si="11"/>
        <v>0</v>
      </c>
    </row>
    <row r="391" spans="1:7">
      <c r="A391" s="1"/>
      <c r="G391">
        <f t="shared" si="11"/>
        <v>0</v>
      </c>
    </row>
    <row r="392" spans="1:7">
      <c r="A392" s="1"/>
      <c r="G392">
        <f t="shared" si="11"/>
        <v>0</v>
      </c>
    </row>
    <row r="393" spans="1:7">
      <c r="A393" s="1"/>
      <c r="G393">
        <f t="shared" si="11"/>
        <v>0</v>
      </c>
    </row>
    <row r="394" spans="1:7">
      <c r="A394" s="1"/>
      <c r="G394">
        <f t="shared" si="11"/>
        <v>0</v>
      </c>
    </row>
    <row r="395" spans="1:7">
      <c r="A395" s="1"/>
      <c r="G395">
        <f t="shared" si="11"/>
        <v>0</v>
      </c>
    </row>
    <row r="396" spans="1:7">
      <c r="A396" s="1"/>
      <c r="G396">
        <f t="shared" si="11"/>
        <v>0</v>
      </c>
    </row>
    <row r="397" spans="1:7">
      <c r="A397" s="1"/>
      <c r="G397">
        <f t="shared" si="11"/>
        <v>0</v>
      </c>
    </row>
    <row r="398" spans="1:7">
      <c r="A398" s="1"/>
      <c r="G398">
        <f t="shared" si="11"/>
        <v>0</v>
      </c>
    </row>
    <row r="399" spans="1:7">
      <c r="A399" s="1"/>
      <c r="G399">
        <f t="shared" si="11"/>
        <v>0</v>
      </c>
    </row>
    <row r="400" spans="1:7">
      <c r="A400" s="1"/>
      <c r="G400">
        <f t="shared" si="11"/>
        <v>0</v>
      </c>
    </row>
    <row r="401" spans="1:7">
      <c r="A401" s="1"/>
      <c r="G401">
        <f t="shared" si="11"/>
        <v>0</v>
      </c>
    </row>
    <row r="402" spans="1:7">
      <c r="A402" s="1"/>
      <c r="G402">
        <f t="shared" si="11"/>
        <v>0</v>
      </c>
    </row>
    <row r="403" spans="1:7">
      <c r="A403" s="1"/>
      <c r="G403">
        <f t="shared" si="11"/>
        <v>0</v>
      </c>
    </row>
    <row r="404" spans="1:7">
      <c r="A404" s="1"/>
      <c r="G404">
        <f t="shared" si="11"/>
        <v>0</v>
      </c>
    </row>
    <row r="405" spans="1:7">
      <c r="A405" s="1"/>
      <c r="G405">
        <f t="shared" si="11"/>
        <v>0</v>
      </c>
    </row>
    <row r="406" spans="1:7">
      <c r="A406" s="1"/>
      <c r="G406">
        <f t="shared" si="11"/>
        <v>0</v>
      </c>
    </row>
    <row r="407" spans="1:7">
      <c r="A407" s="1"/>
      <c r="G407">
        <f t="shared" si="11"/>
        <v>0</v>
      </c>
    </row>
    <row r="408" spans="1:7">
      <c r="A408" s="1"/>
      <c r="G408">
        <f t="shared" si="11"/>
        <v>0</v>
      </c>
    </row>
    <row r="409" spans="1:7">
      <c r="A409" s="1"/>
      <c r="G409">
        <f t="shared" si="11"/>
        <v>0</v>
      </c>
    </row>
    <row r="410" spans="1:7">
      <c r="A410" s="1"/>
      <c r="G410">
        <f t="shared" si="11"/>
        <v>0</v>
      </c>
    </row>
    <row r="411" spans="1:7">
      <c r="A411" s="1"/>
      <c r="G411">
        <f t="shared" si="11"/>
        <v>0</v>
      </c>
    </row>
    <row r="412" spans="1:7">
      <c r="A412" s="1"/>
      <c r="G412">
        <f t="shared" si="11"/>
        <v>0</v>
      </c>
    </row>
    <row r="413" spans="1:7">
      <c r="A413" s="1"/>
      <c r="G413">
        <f t="shared" si="11"/>
        <v>0</v>
      </c>
    </row>
    <row r="414" spans="1:7">
      <c r="A414" s="1"/>
      <c r="G414">
        <f t="shared" si="11"/>
        <v>0</v>
      </c>
    </row>
    <row r="415" spans="1:7">
      <c r="A415" s="1"/>
      <c r="G415">
        <f t="shared" si="11"/>
        <v>0</v>
      </c>
    </row>
    <row r="416" spans="1:7">
      <c r="A416" s="1"/>
      <c r="G416">
        <f t="shared" si="11"/>
        <v>0</v>
      </c>
    </row>
    <row r="417" spans="1:7">
      <c r="A417" s="1"/>
      <c r="G417">
        <f t="shared" si="11"/>
        <v>0</v>
      </c>
    </row>
    <row r="418" spans="1:7">
      <c r="A418" s="1"/>
      <c r="G418">
        <f t="shared" si="11"/>
        <v>0</v>
      </c>
    </row>
    <row r="419" spans="1:7">
      <c r="A419" s="1"/>
      <c r="G419">
        <f t="shared" si="11"/>
        <v>0</v>
      </c>
    </row>
    <row r="420" spans="1:7">
      <c r="A420" s="1"/>
      <c r="G420">
        <f t="shared" si="11"/>
        <v>0</v>
      </c>
    </row>
    <row r="421" spans="1:7">
      <c r="A421" s="1"/>
      <c r="G421">
        <f t="shared" si="11"/>
        <v>0</v>
      </c>
    </row>
    <row r="422" spans="1:7">
      <c r="A422" s="1"/>
      <c r="G422">
        <f t="shared" si="11"/>
        <v>0</v>
      </c>
    </row>
    <row r="423" spans="1:7">
      <c r="A423" s="1"/>
      <c r="G423">
        <f t="shared" si="11"/>
        <v>0</v>
      </c>
    </row>
    <row r="424" spans="1:7">
      <c r="A424" s="1"/>
      <c r="G424">
        <f t="shared" si="11"/>
        <v>0</v>
      </c>
    </row>
    <row r="425" spans="1:7">
      <c r="A425" s="1"/>
      <c r="G425">
        <f t="shared" si="11"/>
        <v>0</v>
      </c>
    </row>
    <row r="426" spans="1:7">
      <c r="A426" s="1"/>
      <c r="G426">
        <f t="shared" si="11"/>
        <v>0</v>
      </c>
    </row>
    <row r="427" spans="1:7">
      <c r="A427" s="1"/>
      <c r="G427">
        <f t="shared" si="11"/>
        <v>0</v>
      </c>
    </row>
    <row r="428" spans="1:7">
      <c r="A428" s="1"/>
      <c r="G428">
        <f t="shared" si="11"/>
        <v>0</v>
      </c>
    </row>
    <row r="429" spans="1:7">
      <c r="A429" s="1"/>
      <c r="G429">
        <f t="shared" si="11"/>
        <v>0</v>
      </c>
    </row>
    <row r="430" spans="1:7">
      <c r="A430" s="1"/>
      <c r="G430">
        <f t="shared" si="11"/>
        <v>0</v>
      </c>
    </row>
    <row r="431" spans="1:7">
      <c r="A431" s="1"/>
      <c r="G431">
        <f t="shared" si="11"/>
        <v>0</v>
      </c>
    </row>
    <row r="432" spans="1:7">
      <c r="A432" s="1"/>
      <c r="G432">
        <f t="shared" si="11"/>
        <v>0</v>
      </c>
    </row>
    <row r="433" spans="1:7">
      <c r="A433" s="1"/>
      <c r="G433">
        <f t="shared" si="11"/>
        <v>0</v>
      </c>
    </row>
    <row r="434" spans="1:7">
      <c r="A434" s="1"/>
      <c r="G434">
        <f t="shared" si="11"/>
        <v>0</v>
      </c>
    </row>
    <row r="435" spans="1:7">
      <c r="A435" s="1"/>
      <c r="G435">
        <f t="shared" si="11"/>
        <v>0</v>
      </c>
    </row>
    <row r="436" spans="1:7">
      <c r="A436" s="1"/>
      <c r="G436">
        <f t="shared" si="11"/>
        <v>0</v>
      </c>
    </row>
    <row r="437" spans="1:7">
      <c r="A437" s="1"/>
      <c r="G437">
        <f t="shared" si="11"/>
        <v>0</v>
      </c>
    </row>
    <row r="438" spans="1:7">
      <c r="A438" s="1"/>
      <c r="G438">
        <f t="shared" si="11"/>
        <v>0</v>
      </c>
    </row>
    <row r="439" spans="1:7">
      <c r="A439" s="1"/>
      <c r="G439">
        <f t="shared" si="11"/>
        <v>0</v>
      </c>
    </row>
    <row r="440" spans="1:7">
      <c r="A440" s="1"/>
      <c r="G440">
        <f t="shared" si="11"/>
        <v>0</v>
      </c>
    </row>
    <row r="441" spans="1:7">
      <c r="A441" s="1"/>
      <c r="G441">
        <f t="shared" si="11"/>
        <v>0</v>
      </c>
    </row>
    <row r="442" spans="1:7">
      <c r="A442" s="1"/>
      <c r="G442">
        <f t="shared" si="11"/>
        <v>0</v>
      </c>
    </row>
    <row r="443" spans="1:7">
      <c r="A443" s="1"/>
      <c r="G443">
        <f t="shared" si="11"/>
        <v>0</v>
      </c>
    </row>
    <row r="444" spans="1:7">
      <c r="A444" s="1"/>
      <c r="G444">
        <f t="shared" si="11"/>
        <v>0</v>
      </c>
    </row>
    <row r="445" spans="1:7">
      <c r="A445" s="1"/>
      <c r="G445">
        <f t="shared" si="11"/>
        <v>0</v>
      </c>
    </row>
    <row r="446" spans="1:7">
      <c r="A446" s="1"/>
      <c r="G446">
        <f t="shared" si="11"/>
        <v>0</v>
      </c>
    </row>
    <row r="447" spans="1:7">
      <c r="A447" s="1"/>
      <c r="G447">
        <f t="shared" si="11"/>
        <v>0</v>
      </c>
    </row>
    <row r="448" spans="1:7">
      <c r="A448" s="1"/>
      <c r="G448">
        <f t="shared" si="11"/>
        <v>0</v>
      </c>
    </row>
    <row r="449" spans="1:7">
      <c r="A449" s="1"/>
      <c r="G449">
        <f t="shared" si="11"/>
        <v>0</v>
      </c>
    </row>
    <row r="450" spans="1:7">
      <c r="A450" s="1"/>
      <c r="G450">
        <f t="shared" si="11"/>
        <v>0</v>
      </c>
    </row>
    <row r="451" spans="1:7">
      <c r="A451" s="1"/>
      <c r="G451">
        <f t="shared" ref="G451:G514" si="12">INT(F451)</f>
        <v>0</v>
      </c>
    </row>
    <row r="452" spans="1:7">
      <c r="A452" s="1"/>
      <c r="G452">
        <f t="shared" si="12"/>
        <v>0</v>
      </c>
    </row>
    <row r="453" spans="1:7">
      <c r="A453" s="1"/>
      <c r="G453">
        <f t="shared" si="12"/>
        <v>0</v>
      </c>
    </row>
    <row r="454" spans="1:7">
      <c r="A454" s="1"/>
      <c r="G454">
        <f t="shared" si="12"/>
        <v>0</v>
      </c>
    </row>
    <row r="455" spans="1:7">
      <c r="A455" s="1"/>
      <c r="G455">
        <f t="shared" si="12"/>
        <v>0</v>
      </c>
    </row>
    <row r="456" spans="1:7">
      <c r="A456" s="1"/>
      <c r="G456">
        <f t="shared" si="12"/>
        <v>0</v>
      </c>
    </row>
    <row r="457" spans="1:7">
      <c r="A457" s="1"/>
      <c r="G457">
        <f t="shared" si="12"/>
        <v>0</v>
      </c>
    </row>
    <row r="458" spans="1:7">
      <c r="A458" s="1"/>
      <c r="G458">
        <f t="shared" si="12"/>
        <v>0</v>
      </c>
    </row>
    <row r="459" spans="1:7">
      <c r="A459" s="1"/>
      <c r="G459">
        <f t="shared" si="12"/>
        <v>0</v>
      </c>
    </row>
    <row r="460" spans="1:7">
      <c r="A460" s="1"/>
      <c r="G460">
        <f t="shared" si="12"/>
        <v>0</v>
      </c>
    </row>
    <row r="461" spans="1:7">
      <c r="A461" s="1"/>
      <c r="G461">
        <f t="shared" si="12"/>
        <v>0</v>
      </c>
    </row>
    <row r="462" spans="1:7">
      <c r="A462" s="1"/>
      <c r="G462">
        <f t="shared" si="12"/>
        <v>0</v>
      </c>
    </row>
    <row r="463" spans="1:7">
      <c r="A463" s="1"/>
      <c r="G463">
        <f t="shared" si="12"/>
        <v>0</v>
      </c>
    </row>
    <row r="464" spans="1:7">
      <c r="A464" s="1"/>
      <c r="G464">
        <f t="shared" si="12"/>
        <v>0</v>
      </c>
    </row>
    <row r="465" spans="1:7">
      <c r="A465" s="1"/>
      <c r="G465">
        <f t="shared" si="12"/>
        <v>0</v>
      </c>
    </row>
    <row r="466" spans="1:7">
      <c r="A466" s="1"/>
      <c r="G466">
        <f t="shared" si="12"/>
        <v>0</v>
      </c>
    </row>
    <row r="467" spans="1:7">
      <c r="A467" s="1"/>
      <c r="G467">
        <f t="shared" si="12"/>
        <v>0</v>
      </c>
    </row>
    <row r="468" spans="1:7">
      <c r="A468" s="1"/>
      <c r="G468">
        <f t="shared" si="12"/>
        <v>0</v>
      </c>
    </row>
    <row r="469" spans="1:7">
      <c r="A469" s="1"/>
      <c r="G469">
        <f t="shared" si="12"/>
        <v>0</v>
      </c>
    </row>
    <row r="470" spans="1:7">
      <c r="A470" s="1"/>
      <c r="G470">
        <f t="shared" si="12"/>
        <v>0</v>
      </c>
    </row>
    <row r="471" spans="1:7">
      <c r="A471" s="1"/>
      <c r="G471">
        <f t="shared" si="12"/>
        <v>0</v>
      </c>
    </row>
    <row r="472" spans="1:7">
      <c r="A472" s="1"/>
      <c r="G472">
        <f t="shared" si="12"/>
        <v>0</v>
      </c>
    </row>
    <row r="473" spans="1:7">
      <c r="A473" s="1"/>
      <c r="G473">
        <f t="shared" si="12"/>
        <v>0</v>
      </c>
    </row>
    <row r="474" spans="1:7">
      <c r="A474" s="1"/>
      <c r="G474">
        <f t="shared" si="12"/>
        <v>0</v>
      </c>
    </row>
    <row r="475" spans="1:7">
      <c r="A475" s="1"/>
      <c r="G475">
        <f t="shared" si="12"/>
        <v>0</v>
      </c>
    </row>
    <row r="476" spans="1:7">
      <c r="A476" s="1"/>
      <c r="G476">
        <f t="shared" si="12"/>
        <v>0</v>
      </c>
    </row>
    <row r="477" spans="1:7">
      <c r="A477" s="1"/>
      <c r="G477">
        <f t="shared" si="12"/>
        <v>0</v>
      </c>
    </row>
    <row r="478" spans="1:7">
      <c r="A478" s="1"/>
      <c r="G478">
        <f t="shared" si="12"/>
        <v>0</v>
      </c>
    </row>
    <row r="479" spans="1:7">
      <c r="A479" s="1"/>
      <c r="G479">
        <f t="shared" si="12"/>
        <v>0</v>
      </c>
    </row>
    <row r="480" spans="1:7">
      <c r="A480" s="1"/>
      <c r="G480">
        <f t="shared" si="12"/>
        <v>0</v>
      </c>
    </row>
    <row r="481" spans="1:7">
      <c r="A481" s="1"/>
      <c r="G481">
        <f t="shared" si="12"/>
        <v>0</v>
      </c>
    </row>
    <row r="482" spans="1:7">
      <c r="A482" s="1"/>
      <c r="G482">
        <f t="shared" si="12"/>
        <v>0</v>
      </c>
    </row>
    <row r="483" spans="1:7">
      <c r="A483" s="1"/>
      <c r="G483">
        <f t="shared" si="12"/>
        <v>0</v>
      </c>
    </row>
    <row r="484" spans="1:7">
      <c r="A484" s="1"/>
      <c r="G484">
        <f t="shared" si="12"/>
        <v>0</v>
      </c>
    </row>
    <row r="485" spans="1:7">
      <c r="A485" s="1"/>
      <c r="G485">
        <f t="shared" si="12"/>
        <v>0</v>
      </c>
    </row>
    <row r="486" spans="1:7">
      <c r="A486" s="1"/>
      <c r="G486">
        <f t="shared" si="12"/>
        <v>0</v>
      </c>
    </row>
    <row r="487" spans="1:7">
      <c r="A487" s="1"/>
      <c r="G487">
        <f t="shared" si="12"/>
        <v>0</v>
      </c>
    </row>
    <row r="488" spans="1:7">
      <c r="A488" s="1"/>
      <c r="G488">
        <f t="shared" si="12"/>
        <v>0</v>
      </c>
    </row>
    <row r="489" spans="1:7">
      <c r="A489" s="1"/>
      <c r="G489">
        <f t="shared" si="12"/>
        <v>0</v>
      </c>
    </row>
    <row r="490" spans="1:7">
      <c r="A490" s="1"/>
      <c r="G490">
        <f t="shared" si="12"/>
        <v>0</v>
      </c>
    </row>
    <row r="491" spans="1:7">
      <c r="A491" s="1"/>
      <c r="G491">
        <f t="shared" si="12"/>
        <v>0</v>
      </c>
    </row>
    <row r="492" spans="1:7">
      <c r="A492" s="1"/>
      <c r="G492">
        <f t="shared" si="12"/>
        <v>0</v>
      </c>
    </row>
    <row r="493" spans="1:7">
      <c r="A493" s="1"/>
      <c r="G493">
        <f t="shared" si="12"/>
        <v>0</v>
      </c>
    </row>
    <row r="494" spans="1:7">
      <c r="A494" s="1"/>
      <c r="G494">
        <f t="shared" si="12"/>
        <v>0</v>
      </c>
    </row>
    <row r="495" spans="1:7">
      <c r="A495" s="1"/>
      <c r="G495">
        <f t="shared" si="12"/>
        <v>0</v>
      </c>
    </row>
    <row r="496" spans="1:7">
      <c r="A496" s="1"/>
      <c r="G496">
        <f t="shared" si="12"/>
        <v>0</v>
      </c>
    </row>
    <row r="497" spans="1:7">
      <c r="A497" s="1"/>
      <c r="G497">
        <f t="shared" si="12"/>
        <v>0</v>
      </c>
    </row>
    <row r="498" spans="1:7">
      <c r="A498" s="1"/>
      <c r="G498">
        <f t="shared" si="12"/>
        <v>0</v>
      </c>
    </row>
    <row r="499" spans="1:7">
      <c r="A499" s="1"/>
      <c r="G499">
        <f t="shared" si="12"/>
        <v>0</v>
      </c>
    </row>
    <row r="500" spans="1:7">
      <c r="A500" s="1"/>
      <c r="G500">
        <f t="shared" si="12"/>
        <v>0</v>
      </c>
    </row>
    <row r="501" spans="1:7">
      <c r="A501" s="1"/>
      <c r="G501">
        <f t="shared" si="12"/>
        <v>0</v>
      </c>
    </row>
    <row r="502" spans="1:7">
      <c r="A502" s="1"/>
      <c r="G502">
        <f t="shared" si="12"/>
        <v>0</v>
      </c>
    </row>
    <row r="503" spans="1:7">
      <c r="A503" s="1"/>
      <c r="G503">
        <f t="shared" si="12"/>
        <v>0</v>
      </c>
    </row>
    <row r="504" spans="1:7">
      <c r="A504" s="1"/>
      <c r="G504">
        <f t="shared" si="12"/>
        <v>0</v>
      </c>
    </row>
    <row r="505" spans="1:7">
      <c r="A505" s="1"/>
      <c r="G505">
        <f t="shared" si="12"/>
        <v>0</v>
      </c>
    </row>
    <row r="506" spans="1:7">
      <c r="A506" s="1"/>
      <c r="G506">
        <f t="shared" si="12"/>
        <v>0</v>
      </c>
    </row>
    <row r="507" spans="1:7">
      <c r="A507" s="1"/>
      <c r="G507">
        <f t="shared" si="12"/>
        <v>0</v>
      </c>
    </row>
    <row r="508" spans="1:7">
      <c r="A508" s="1"/>
      <c r="G508">
        <f t="shared" si="12"/>
        <v>0</v>
      </c>
    </row>
    <row r="509" spans="1:7">
      <c r="A509" s="1"/>
      <c r="G509">
        <f t="shared" si="12"/>
        <v>0</v>
      </c>
    </row>
    <row r="510" spans="1:7">
      <c r="A510" s="1"/>
      <c r="G510">
        <f t="shared" si="12"/>
        <v>0</v>
      </c>
    </row>
    <row r="511" spans="1:7">
      <c r="A511" s="1"/>
      <c r="G511">
        <f t="shared" si="12"/>
        <v>0</v>
      </c>
    </row>
    <row r="512" spans="1:7">
      <c r="A512" s="1"/>
      <c r="G512">
        <f t="shared" si="12"/>
        <v>0</v>
      </c>
    </row>
    <row r="513" spans="1:7">
      <c r="A513" s="1"/>
      <c r="G513">
        <f t="shared" si="12"/>
        <v>0</v>
      </c>
    </row>
    <row r="514" spans="1:7">
      <c r="A514" s="1"/>
      <c r="G514">
        <f t="shared" si="12"/>
        <v>0</v>
      </c>
    </row>
    <row r="515" spans="1:7">
      <c r="A515" s="1"/>
      <c r="G515">
        <f t="shared" ref="G515:G578" si="13">INT(F515)</f>
        <v>0</v>
      </c>
    </row>
    <row r="516" spans="1:7">
      <c r="A516" s="1"/>
      <c r="G516">
        <f t="shared" si="13"/>
        <v>0</v>
      </c>
    </row>
    <row r="517" spans="1:7">
      <c r="A517" s="1"/>
      <c r="G517">
        <f t="shared" si="13"/>
        <v>0</v>
      </c>
    </row>
    <row r="518" spans="1:7">
      <c r="A518" s="1"/>
      <c r="G518">
        <f t="shared" si="13"/>
        <v>0</v>
      </c>
    </row>
    <row r="519" spans="1:7">
      <c r="A519" s="1"/>
      <c r="G519">
        <f t="shared" si="13"/>
        <v>0</v>
      </c>
    </row>
    <row r="520" spans="1:7">
      <c r="A520" s="1"/>
      <c r="G520">
        <f t="shared" si="13"/>
        <v>0</v>
      </c>
    </row>
    <row r="521" spans="1:7">
      <c r="A521" s="1"/>
      <c r="G521">
        <f t="shared" si="13"/>
        <v>0</v>
      </c>
    </row>
    <row r="522" spans="1:7">
      <c r="A522" s="1"/>
      <c r="G522">
        <f t="shared" si="13"/>
        <v>0</v>
      </c>
    </row>
    <row r="523" spans="1:7">
      <c r="A523" s="1"/>
      <c r="G523">
        <f t="shared" si="13"/>
        <v>0</v>
      </c>
    </row>
    <row r="524" spans="1:7">
      <c r="A524" s="1"/>
      <c r="G524">
        <f t="shared" si="13"/>
        <v>0</v>
      </c>
    </row>
    <row r="525" spans="1:7">
      <c r="A525" s="1"/>
      <c r="G525">
        <f t="shared" si="13"/>
        <v>0</v>
      </c>
    </row>
    <row r="526" spans="1:7">
      <c r="A526" s="1"/>
      <c r="G526">
        <f t="shared" si="13"/>
        <v>0</v>
      </c>
    </row>
    <row r="527" spans="1:7">
      <c r="A527" s="1"/>
      <c r="G527">
        <f t="shared" si="13"/>
        <v>0</v>
      </c>
    </row>
    <row r="528" spans="1:7">
      <c r="A528" s="1"/>
      <c r="G528">
        <f t="shared" si="13"/>
        <v>0</v>
      </c>
    </row>
    <row r="529" spans="1:7">
      <c r="A529" s="1"/>
      <c r="G529">
        <f t="shared" si="13"/>
        <v>0</v>
      </c>
    </row>
    <row r="530" spans="1:7">
      <c r="A530" s="1"/>
      <c r="G530">
        <f t="shared" si="13"/>
        <v>0</v>
      </c>
    </row>
    <row r="531" spans="1:7">
      <c r="A531" s="1"/>
      <c r="G531">
        <f t="shared" si="13"/>
        <v>0</v>
      </c>
    </row>
    <row r="532" spans="1:7">
      <c r="A532" s="1"/>
      <c r="G532">
        <f t="shared" si="13"/>
        <v>0</v>
      </c>
    </row>
    <row r="533" spans="1:7">
      <c r="A533" s="1"/>
      <c r="G533">
        <f t="shared" si="13"/>
        <v>0</v>
      </c>
    </row>
    <row r="534" spans="1:7">
      <c r="A534" s="1"/>
      <c r="G534">
        <f t="shared" si="13"/>
        <v>0</v>
      </c>
    </row>
    <row r="535" spans="1:7">
      <c r="A535" s="1"/>
      <c r="G535">
        <f t="shared" si="13"/>
        <v>0</v>
      </c>
    </row>
    <row r="536" spans="1:7">
      <c r="A536" s="1"/>
      <c r="G536">
        <f t="shared" si="13"/>
        <v>0</v>
      </c>
    </row>
    <row r="537" spans="1:7">
      <c r="A537" s="1"/>
      <c r="G537">
        <f t="shared" si="13"/>
        <v>0</v>
      </c>
    </row>
    <row r="538" spans="1:7">
      <c r="A538" s="1"/>
      <c r="G538">
        <f t="shared" si="13"/>
        <v>0</v>
      </c>
    </row>
    <row r="539" spans="1:7">
      <c r="A539" s="1"/>
      <c r="G539">
        <f t="shared" si="13"/>
        <v>0</v>
      </c>
    </row>
    <row r="540" spans="1:7">
      <c r="A540" s="1"/>
      <c r="G540">
        <f t="shared" si="13"/>
        <v>0</v>
      </c>
    </row>
    <row r="541" spans="1:7">
      <c r="A541" s="1"/>
      <c r="G541">
        <f t="shared" si="13"/>
        <v>0</v>
      </c>
    </row>
    <row r="542" spans="1:7">
      <c r="A542" s="1"/>
      <c r="G542">
        <f t="shared" si="13"/>
        <v>0</v>
      </c>
    </row>
    <row r="543" spans="1:7">
      <c r="A543" s="1"/>
      <c r="G543">
        <f t="shared" si="13"/>
        <v>0</v>
      </c>
    </row>
    <row r="544" spans="1:7">
      <c r="A544" s="1"/>
      <c r="G544">
        <f t="shared" si="13"/>
        <v>0</v>
      </c>
    </row>
    <row r="545" spans="1:7">
      <c r="A545" s="1"/>
      <c r="G545">
        <f t="shared" si="13"/>
        <v>0</v>
      </c>
    </row>
    <row r="546" spans="1:7">
      <c r="A546" s="1"/>
      <c r="G546">
        <f t="shared" si="13"/>
        <v>0</v>
      </c>
    </row>
    <row r="547" spans="1:7">
      <c r="A547" s="1"/>
      <c r="G547">
        <f t="shared" si="13"/>
        <v>0</v>
      </c>
    </row>
    <row r="548" spans="1:7">
      <c r="A548" s="1"/>
      <c r="G548">
        <f t="shared" si="13"/>
        <v>0</v>
      </c>
    </row>
    <row r="549" spans="1:7">
      <c r="A549" s="1"/>
      <c r="G549">
        <f t="shared" si="13"/>
        <v>0</v>
      </c>
    </row>
    <row r="550" spans="1:7">
      <c r="A550" s="1"/>
      <c r="G550">
        <f t="shared" si="13"/>
        <v>0</v>
      </c>
    </row>
    <row r="551" spans="1:7">
      <c r="A551" s="1"/>
      <c r="G551">
        <f t="shared" si="13"/>
        <v>0</v>
      </c>
    </row>
    <row r="552" spans="1:7">
      <c r="A552" s="1"/>
      <c r="G552">
        <f t="shared" si="13"/>
        <v>0</v>
      </c>
    </row>
    <row r="553" spans="1:7">
      <c r="A553" s="1"/>
      <c r="G553">
        <f t="shared" si="13"/>
        <v>0</v>
      </c>
    </row>
    <row r="554" spans="1:7">
      <c r="A554" s="1"/>
      <c r="G554">
        <f t="shared" si="13"/>
        <v>0</v>
      </c>
    </row>
    <row r="555" spans="1:7">
      <c r="A555" s="1"/>
      <c r="G555">
        <f t="shared" si="13"/>
        <v>0</v>
      </c>
    </row>
    <row r="556" spans="1:7">
      <c r="A556" s="1"/>
      <c r="G556">
        <f t="shared" si="13"/>
        <v>0</v>
      </c>
    </row>
    <row r="557" spans="1:7">
      <c r="A557" s="1"/>
      <c r="G557">
        <f t="shared" si="13"/>
        <v>0</v>
      </c>
    </row>
    <row r="558" spans="1:7">
      <c r="A558" s="1"/>
      <c r="G558">
        <f t="shared" si="13"/>
        <v>0</v>
      </c>
    </row>
    <row r="559" spans="1:7">
      <c r="A559" s="1"/>
      <c r="G559">
        <f t="shared" si="13"/>
        <v>0</v>
      </c>
    </row>
    <row r="560" spans="1:7">
      <c r="A560" s="1"/>
      <c r="G560">
        <f t="shared" si="13"/>
        <v>0</v>
      </c>
    </row>
    <row r="561" spans="1:7">
      <c r="A561" s="1"/>
      <c r="G561">
        <f t="shared" si="13"/>
        <v>0</v>
      </c>
    </row>
    <row r="562" spans="1:7">
      <c r="A562" s="1"/>
      <c r="G562">
        <f t="shared" si="13"/>
        <v>0</v>
      </c>
    </row>
    <row r="563" spans="1:7">
      <c r="A563" s="1"/>
      <c r="G563">
        <f t="shared" si="13"/>
        <v>0</v>
      </c>
    </row>
    <row r="564" spans="1:7">
      <c r="A564" s="1"/>
      <c r="G564">
        <f t="shared" si="13"/>
        <v>0</v>
      </c>
    </row>
    <row r="565" spans="1:7">
      <c r="A565" s="1"/>
      <c r="G565">
        <f t="shared" si="13"/>
        <v>0</v>
      </c>
    </row>
    <row r="566" spans="1:7">
      <c r="A566" s="1"/>
      <c r="G566">
        <f t="shared" si="13"/>
        <v>0</v>
      </c>
    </row>
    <row r="567" spans="1:7">
      <c r="A567" s="1"/>
      <c r="G567">
        <f t="shared" si="13"/>
        <v>0</v>
      </c>
    </row>
    <row r="568" spans="1:7">
      <c r="A568" s="1"/>
      <c r="G568">
        <f t="shared" si="13"/>
        <v>0</v>
      </c>
    </row>
    <row r="569" spans="1:7">
      <c r="A569" s="1"/>
      <c r="G569">
        <f t="shared" si="13"/>
        <v>0</v>
      </c>
    </row>
    <row r="570" spans="1:7">
      <c r="A570" s="1"/>
      <c r="G570">
        <f t="shared" si="13"/>
        <v>0</v>
      </c>
    </row>
    <row r="571" spans="1:7">
      <c r="A571" s="1"/>
      <c r="G571">
        <f t="shared" si="13"/>
        <v>0</v>
      </c>
    </row>
    <row r="572" spans="1:7">
      <c r="A572" s="1"/>
      <c r="G572">
        <f t="shared" si="13"/>
        <v>0</v>
      </c>
    </row>
    <row r="573" spans="1:7">
      <c r="A573" s="1"/>
      <c r="G573">
        <f t="shared" si="13"/>
        <v>0</v>
      </c>
    </row>
    <row r="574" spans="1:7">
      <c r="A574" s="1"/>
      <c r="G574">
        <f t="shared" si="13"/>
        <v>0</v>
      </c>
    </row>
    <row r="575" spans="1:7">
      <c r="A575" s="1"/>
      <c r="G575">
        <f t="shared" si="13"/>
        <v>0</v>
      </c>
    </row>
    <row r="576" spans="1:7">
      <c r="A576" s="1"/>
      <c r="G576">
        <f t="shared" si="13"/>
        <v>0</v>
      </c>
    </row>
    <row r="577" spans="1:7">
      <c r="A577" s="1"/>
      <c r="G577">
        <f t="shared" si="13"/>
        <v>0</v>
      </c>
    </row>
    <row r="578" spans="1:7">
      <c r="A578" s="1"/>
      <c r="G578">
        <f t="shared" si="13"/>
        <v>0</v>
      </c>
    </row>
    <row r="579" spans="1:7">
      <c r="A579" s="1"/>
      <c r="G579">
        <f t="shared" ref="G579:G635" si="14">INT(F579)</f>
        <v>0</v>
      </c>
    </row>
    <row r="580" spans="1:7">
      <c r="A580" s="1"/>
      <c r="G580">
        <f t="shared" si="14"/>
        <v>0</v>
      </c>
    </row>
    <row r="581" spans="1:7">
      <c r="A581" s="1"/>
      <c r="G581">
        <f t="shared" si="14"/>
        <v>0</v>
      </c>
    </row>
    <row r="582" spans="1:7">
      <c r="A582" s="1"/>
      <c r="G582">
        <f t="shared" si="14"/>
        <v>0</v>
      </c>
    </row>
    <row r="583" spans="1:7">
      <c r="A583" s="1"/>
      <c r="G583">
        <f t="shared" si="14"/>
        <v>0</v>
      </c>
    </row>
    <row r="584" spans="1:7">
      <c r="A584" s="1"/>
      <c r="G584">
        <f t="shared" si="14"/>
        <v>0</v>
      </c>
    </row>
    <row r="585" spans="1:7">
      <c r="A585" s="1"/>
      <c r="G585">
        <f t="shared" si="14"/>
        <v>0</v>
      </c>
    </row>
    <row r="586" spans="1:7">
      <c r="A586" s="1"/>
      <c r="G586">
        <f t="shared" si="14"/>
        <v>0</v>
      </c>
    </row>
    <row r="587" spans="1:7">
      <c r="A587" s="1"/>
      <c r="G587">
        <f t="shared" si="14"/>
        <v>0</v>
      </c>
    </row>
    <row r="588" spans="1:7">
      <c r="A588" s="1"/>
      <c r="G588">
        <f t="shared" si="14"/>
        <v>0</v>
      </c>
    </row>
    <row r="589" spans="1:7">
      <c r="A589" s="1"/>
      <c r="G589">
        <f t="shared" si="14"/>
        <v>0</v>
      </c>
    </row>
    <row r="590" spans="1:7">
      <c r="A590" s="1"/>
      <c r="G590">
        <f t="shared" si="14"/>
        <v>0</v>
      </c>
    </row>
    <row r="591" spans="1:7">
      <c r="A591" s="1"/>
      <c r="G591">
        <f t="shared" si="14"/>
        <v>0</v>
      </c>
    </row>
    <row r="592" spans="1:7">
      <c r="A592" s="1"/>
      <c r="G592">
        <f t="shared" si="14"/>
        <v>0</v>
      </c>
    </row>
    <row r="593" spans="1:7">
      <c r="A593" s="1"/>
      <c r="G593">
        <f t="shared" si="14"/>
        <v>0</v>
      </c>
    </row>
    <row r="594" spans="1:7">
      <c r="A594" s="1"/>
      <c r="G594">
        <f t="shared" si="14"/>
        <v>0</v>
      </c>
    </row>
    <row r="595" spans="1:7">
      <c r="A595" s="1"/>
      <c r="G595">
        <f t="shared" si="14"/>
        <v>0</v>
      </c>
    </row>
    <row r="596" spans="1:7">
      <c r="A596" s="1"/>
      <c r="G596">
        <f t="shared" si="14"/>
        <v>0</v>
      </c>
    </row>
    <row r="597" spans="1:7">
      <c r="A597" s="1"/>
      <c r="G597">
        <f t="shared" si="14"/>
        <v>0</v>
      </c>
    </row>
    <row r="598" spans="1:7">
      <c r="A598" s="1"/>
      <c r="G598">
        <f t="shared" si="14"/>
        <v>0</v>
      </c>
    </row>
    <row r="599" spans="1:7">
      <c r="A599" s="1"/>
      <c r="G599">
        <f t="shared" si="14"/>
        <v>0</v>
      </c>
    </row>
    <row r="600" spans="1:7">
      <c r="A600" s="1"/>
      <c r="G600">
        <f t="shared" si="14"/>
        <v>0</v>
      </c>
    </row>
    <row r="601" spans="1:7">
      <c r="A601" s="1"/>
      <c r="G601">
        <f t="shared" si="14"/>
        <v>0</v>
      </c>
    </row>
    <row r="602" spans="1:7">
      <c r="A602" s="1"/>
      <c r="G602">
        <f t="shared" si="14"/>
        <v>0</v>
      </c>
    </row>
    <row r="603" spans="1:7">
      <c r="A603" s="1"/>
      <c r="G603">
        <f t="shared" si="14"/>
        <v>0</v>
      </c>
    </row>
    <row r="604" spans="1:7">
      <c r="A604" s="1"/>
      <c r="G604">
        <f t="shared" si="14"/>
        <v>0</v>
      </c>
    </row>
    <row r="605" spans="1:7">
      <c r="A605" s="1"/>
      <c r="G605">
        <f t="shared" si="14"/>
        <v>0</v>
      </c>
    </row>
    <row r="606" spans="1:7">
      <c r="A606" s="1"/>
      <c r="G606">
        <f t="shared" si="14"/>
        <v>0</v>
      </c>
    </row>
    <row r="607" spans="1:7">
      <c r="A607" s="1"/>
      <c r="G607">
        <f t="shared" si="14"/>
        <v>0</v>
      </c>
    </row>
    <row r="608" spans="1:7">
      <c r="A608" s="1"/>
      <c r="G608">
        <f t="shared" si="14"/>
        <v>0</v>
      </c>
    </row>
    <row r="609" spans="1:7">
      <c r="A609" s="1"/>
      <c r="G609">
        <f t="shared" si="14"/>
        <v>0</v>
      </c>
    </row>
    <row r="610" spans="1:7">
      <c r="A610" s="1"/>
      <c r="G610">
        <f t="shared" si="14"/>
        <v>0</v>
      </c>
    </row>
    <row r="611" spans="1:7">
      <c r="A611" s="1"/>
      <c r="G611">
        <f t="shared" si="14"/>
        <v>0</v>
      </c>
    </row>
    <row r="612" spans="1:7">
      <c r="A612" s="1"/>
      <c r="G612">
        <f t="shared" si="14"/>
        <v>0</v>
      </c>
    </row>
    <row r="613" spans="1:7">
      <c r="A613" s="1"/>
      <c r="G613">
        <f t="shared" si="14"/>
        <v>0</v>
      </c>
    </row>
    <row r="614" spans="1:7">
      <c r="A614" s="1"/>
      <c r="G614">
        <f t="shared" si="14"/>
        <v>0</v>
      </c>
    </row>
    <row r="615" spans="1:7">
      <c r="A615" s="1"/>
      <c r="G615">
        <f t="shared" si="14"/>
        <v>0</v>
      </c>
    </row>
    <row r="616" spans="1:7">
      <c r="A616" s="1"/>
      <c r="G616">
        <f t="shared" si="14"/>
        <v>0</v>
      </c>
    </row>
    <row r="617" spans="1:7">
      <c r="A617" s="1"/>
      <c r="G617">
        <f t="shared" si="14"/>
        <v>0</v>
      </c>
    </row>
    <row r="618" spans="1:7">
      <c r="A618" s="1"/>
      <c r="G618">
        <f t="shared" si="14"/>
        <v>0</v>
      </c>
    </row>
    <row r="619" spans="1:7">
      <c r="A619" s="1"/>
      <c r="G619">
        <f t="shared" si="14"/>
        <v>0</v>
      </c>
    </row>
    <row r="620" spans="1:7">
      <c r="A620" s="1"/>
      <c r="G620">
        <f t="shared" si="14"/>
        <v>0</v>
      </c>
    </row>
    <row r="621" spans="1:7">
      <c r="A621" s="1"/>
      <c r="G621">
        <f t="shared" si="14"/>
        <v>0</v>
      </c>
    </row>
    <row r="622" spans="1:7">
      <c r="A622" s="1"/>
      <c r="G622">
        <f t="shared" si="14"/>
        <v>0</v>
      </c>
    </row>
    <row r="623" spans="1:7">
      <c r="A623" s="1"/>
      <c r="G623">
        <f t="shared" si="14"/>
        <v>0</v>
      </c>
    </row>
    <row r="624" spans="1:7">
      <c r="A624" s="1"/>
      <c r="G624">
        <f t="shared" si="14"/>
        <v>0</v>
      </c>
    </row>
    <row r="625" spans="1:10">
      <c r="A625" s="1"/>
      <c r="G625">
        <f t="shared" si="14"/>
        <v>0</v>
      </c>
    </row>
    <row r="626" spans="1:10">
      <c r="A626" s="1"/>
      <c r="G626">
        <f t="shared" si="14"/>
        <v>0</v>
      </c>
    </row>
    <row r="627" spans="1:10">
      <c r="A627" s="1"/>
      <c r="G627">
        <f t="shared" si="14"/>
        <v>0</v>
      </c>
    </row>
    <row r="628" spans="1:10">
      <c r="A628" s="1"/>
      <c r="G628">
        <f t="shared" si="14"/>
        <v>0</v>
      </c>
    </row>
    <row r="629" spans="1:10">
      <c r="A629" s="1"/>
      <c r="G629">
        <f t="shared" si="14"/>
        <v>0</v>
      </c>
    </row>
    <row r="630" spans="1:10">
      <c r="A630" s="1"/>
      <c r="B630" s="2"/>
      <c r="G630">
        <f t="shared" si="14"/>
        <v>0</v>
      </c>
    </row>
    <row r="631" spans="1:10">
      <c r="A631" s="1"/>
      <c r="B631" s="2"/>
      <c r="G631">
        <f t="shared" si="14"/>
        <v>0</v>
      </c>
    </row>
    <row r="632" spans="1:10">
      <c r="A632" s="1"/>
      <c r="B632" s="2"/>
      <c r="G632">
        <f t="shared" si="14"/>
        <v>0</v>
      </c>
      <c r="J632" s="1"/>
    </row>
    <row r="633" spans="1:10">
      <c r="A633" s="1"/>
      <c r="B633" s="2"/>
      <c r="G633">
        <f t="shared" si="14"/>
        <v>0</v>
      </c>
      <c r="J633" s="1"/>
    </row>
    <row r="634" spans="1:10">
      <c r="A634" s="1"/>
      <c r="B634" s="2"/>
      <c r="G634">
        <f t="shared" si="14"/>
        <v>0</v>
      </c>
      <c r="J634" s="1"/>
    </row>
    <row r="635" spans="1:10">
      <c r="A635" s="1"/>
      <c r="B635" s="2"/>
      <c r="G635">
        <f t="shared" si="14"/>
        <v>0</v>
      </c>
      <c r="J635" s="1"/>
    </row>
    <row r="636" spans="1:10">
      <c r="A636" s="1"/>
      <c r="B636" s="2"/>
    </row>
    <row r="637" spans="1:10">
      <c r="A637" s="1"/>
      <c r="B637" s="2"/>
    </row>
    <row r="638" spans="1:10">
      <c r="A638" s="1"/>
      <c r="B63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6467F-98FB-4BDE-8E56-F18FDBDCD75C}">
  <dimension ref="A1:G316"/>
  <sheetViews>
    <sheetView workbookViewId="0">
      <selection activeCell="F3" sqref="F3"/>
    </sheetView>
  </sheetViews>
  <sheetFormatPr defaultRowHeight="15"/>
  <cols>
    <col min="1" max="1" width="11" customWidth="1"/>
    <col min="4" max="4" width="20.140625" customWidth="1"/>
    <col min="6" max="6" width="18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</row>
    <row r="2" spans="1:7">
      <c r="A2" s="1" cm="1">
        <f t="array" ref="A2:C316">_xll.BDH("NAPMPMI Index","BN_SURVEY_MEDIAN,ACTUAL_RELEASE","2000-01-01","2026-03-19", "RELEASE_DATE_OVERRIDE", "1")</f>
        <v>36528</v>
      </c>
      <c r="B2">
        <v>56</v>
      </c>
      <c r="C2">
        <v>55.5</v>
      </c>
      <c r="D2" t="str">
        <f>_xlfn.XLOOKUP(A2,$G:$G,$F:$F,"")</f>
        <v>2000/01/03 16:00:00</v>
      </c>
      <c r="F2" t="str" cm="1">
        <f t="array" ref="F2:F316">_xll.BDS("NAPMPMI Index","ECO_FUTURE_RELEASE_DATE_LIST","START_DT=20000101","END_DT=20260319", "TIME_ZONE_OVERRIDE=24")</f>
        <v>2000/01/03 16:00:00</v>
      </c>
      <c r="G2">
        <f>INT(F2)</f>
        <v>36528</v>
      </c>
    </row>
    <row r="3" spans="1:7">
      <c r="A3" s="1">
        <v>36557</v>
      </c>
      <c r="B3">
        <v>56</v>
      </c>
      <c r="C3">
        <v>56.3</v>
      </c>
      <c r="D3" t="str">
        <f t="shared" ref="D3:D66" si="0">_xlfn.XLOOKUP(A3,$G:$G,$F:$F,"")</f>
        <v>2000/02/01 16:00:00</v>
      </c>
      <c r="F3" t="str">
        <v>2000/02/01 16:00:00</v>
      </c>
      <c r="G3">
        <f t="shared" ref="G3:G66" si="1">INT(F3)</f>
        <v>36557</v>
      </c>
    </row>
    <row r="4" spans="1:7">
      <c r="A4" s="1">
        <v>36586</v>
      </c>
      <c r="B4">
        <v>56.5</v>
      </c>
      <c r="C4">
        <v>56.9</v>
      </c>
      <c r="D4" t="str">
        <f t="shared" si="0"/>
        <v>2000/03/01 16:00:00</v>
      </c>
      <c r="F4" t="str">
        <v>2000/03/01 16:00:00</v>
      </c>
      <c r="G4">
        <f t="shared" si="1"/>
        <v>36586</v>
      </c>
    </row>
    <row r="5" spans="1:7">
      <c r="A5" s="1">
        <v>36619</v>
      </c>
      <c r="B5">
        <v>57</v>
      </c>
      <c r="C5">
        <v>55.8</v>
      </c>
      <c r="D5" t="str">
        <f t="shared" si="0"/>
        <v>2000/04/03 16:00:00</v>
      </c>
      <c r="F5" t="str">
        <v>2000/04/03 16:00:00</v>
      </c>
      <c r="G5">
        <f t="shared" si="1"/>
        <v>36619</v>
      </c>
    </row>
    <row r="6" spans="1:7">
      <c r="A6" s="1">
        <v>36647</v>
      </c>
      <c r="B6">
        <v>55.6</v>
      </c>
      <c r="C6">
        <v>54.9</v>
      </c>
      <c r="D6" t="str">
        <f t="shared" si="0"/>
        <v>2000/05/01 16:00:00</v>
      </c>
      <c r="F6" t="str">
        <v>2000/05/01 16:00:00</v>
      </c>
      <c r="G6">
        <f t="shared" si="1"/>
        <v>36647</v>
      </c>
    </row>
    <row r="7" spans="1:7">
      <c r="A7" s="1">
        <v>36678</v>
      </c>
      <c r="B7">
        <v>55.3</v>
      </c>
      <c r="C7">
        <v>53.2</v>
      </c>
      <c r="D7" t="str">
        <f t="shared" si="0"/>
        <v>2000/06/01 16:00:00</v>
      </c>
      <c r="F7" t="str">
        <v>2000/06/01 16:00:00</v>
      </c>
      <c r="G7">
        <f t="shared" si="1"/>
        <v>36678</v>
      </c>
    </row>
    <row r="8" spans="1:7">
      <c r="A8" s="1">
        <v>36710</v>
      </c>
      <c r="B8">
        <v>52.8</v>
      </c>
      <c r="C8">
        <v>51.8</v>
      </c>
      <c r="D8" t="str">
        <f t="shared" si="0"/>
        <v>2000/07/03 16:00:00</v>
      </c>
      <c r="F8" t="str">
        <v>2000/07/03 16:00:00</v>
      </c>
      <c r="G8">
        <f t="shared" si="1"/>
        <v>36710</v>
      </c>
    </row>
    <row r="9" spans="1:7">
      <c r="A9" s="1">
        <v>36739</v>
      </c>
      <c r="B9">
        <v>52.5</v>
      </c>
      <c r="C9">
        <v>51.8</v>
      </c>
      <c r="D9" t="str">
        <f t="shared" si="0"/>
        <v>2000/08/01 15:26:00</v>
      </c>
      <c r="F9" t="str">
        <v>2000/08/01 15:26:00</v>
      </c>
      <c r="G9">
        <f t="shared" si="1"/>
        <v>36739</v>
      </c>
    </row>
    <row r="10" spans="1:7">
      <c r="A10" s="1">
        <v>36770</v>
      </c>
      <c r="B10">
        <v>52.3</v>
      </c>
      <c r="C10">
        <v>49.5</v>
      </c>
      <c r="D10" t="str">
        <f t="shared" si="0"/>
        <v>2000/09/01 16:00:00</v>
      </c>
      <c r="F10" t="str">
        <v>2000/09/01 16:00:00</v>
      </c>
      <c r="G10">
        <f t="shared" si="1"/>
        <v>36770</v>
      </c>
    </row>
    <row r="11" spans="1:7">
      <c r="A11" s="1">
        <v>36801</v>
      </c>
      <c r="B11">
        <v>50.2</v>
      </c>
      <c r="C11">
        <v>49.9</v>
      </c>
      <c r="D11" t="str">
        <f t="shared" si="0"/>
        <v>2000/10/02 16:00:00</v>
      </c>
      <c r="F11" t="str">
        <v>2000/10/02 16:00:00</v>
      </c>
      <c r="G11">
        <f t="shared" si="1"/>
        <v>36801</v>
      </c>
    </row>
    <row r="12" spans="1:7">
      <c r="A12" s="1">
        <v>36831</v>
      </c>
      <c r="B12">
        <v>49.5</v>
      </c>
      <c r="C12">
        <v>48.3</v>
      </c>
      <c r="D12" t="str">
        <f t="shared" si="0"/>
        <v>2000/11/01 16:00:00</v>
      </c>
      <c r="F12" t="str">
        <v>2000/11/01 16:00:00</v>
      </c>
      <c r="G12">
        <f t="shared" si="1"/>
        <v>36831</v>
      </c>
    </row>
    <row r="13" spans="1:7">
      <c r="A13" s="1">
        <v>36861</v>
      </c>
      <c r="B13">
        <v>48</v>
      </c>
      <c r="C13">
        <v>47.7</v>
      </c>
      <c r="D13" t="str">
        <f t="shared" si="0"/>
        <v>2000/12/01 16:00:00</v>
      </c>
      <c r="F13" t="str">
        <v>2000/12/01 16:00:00</v>
      </c>
      <c r="G13">
        <f t="shared" si="1"/>
        <v>36861</v>
      </c>
    </row>
    <row r="14" spans="1:7">
      <c r="A14" s="1">
        <v>36893</v>
      </c>
      <c r="B14">
        <v>47</v>
      </c>
      <c r="C14">
        <v>43.7</v>
      </c>
      <c r="D14" t="str">
        <f t="shared" si="0"/>
        <v>2001/01/02 16:00:00</v>
      </c>
      <c r="F14" t="str">
        <v>2001/01/02 16:00:00</v>
      </c>
      <c r="G14">
        <f t="shared" si="1"/>
        <v>36893</v>
      </c>
    </row>
    <row r="15" spans="1:7">
      <c r="A15" s="1">
        <v>36923</v>
      </c>
      <c r="B15">
        <v>43</v>
      </c>
      <c r="C15">
        <v>41.2</v>
      </c>
      <c r="D15" t="str">
        <f t="shared" si="0"/>
        <v>2001/02/01 16:00:00</v>
      </c>
      <c r="F15" t="str">
        <v>2001/02/01 16:00:00</v>
      </c>
      <c r="G15">
        <f t="shared" si="1"/>
        <v>36923</v>
      </c>
    </row>
    <row r="16" spans="1:7">
      <c r="A16" s="1">
        <v>36951</v>
      </c>
      <c r="B16">
        <v>42</v>
      </c>
      <c r="C16">
        <v>41.9</v>
      </c>
      <c r="D16" t="str">
        <f t="shared" si="0"/>
        <v>2001/03/01 16:00:00</v>
      </c>
      <c r="F16" t="str">
        <v>2001/03/01 16:00:00</v>
      </c>
      <c r="G16">
        <f t="shared" si="1"/>
        <v>36951</v>
      </c>
    </row>
    <row r="17" spans="1:7">
      <c r="A17" s="1">
        <v>36983</v>
      </c>
      <c r="B17">
        <v>41.5</v>
      </c>
      <c r="C17">
        <v>43.1</v>
      </c>
      <c r="D17" t="str">
        <f t="shared" si="0"/>
        <v>2001/04/02 16:00:00</v>
      </c>
      <c r="F17" t="str">
        <v>2001/04/02 16:00:00</v>
      </c>
      <c r="G17">
        <f t="shared" si="1"/>
        <v>36983</v>
      </c>
    </row>
    <row r="18" spans="1:7">
      <c r="A18" s="1">
        <v>37012</v>
      </c>
      <c r="B18">
        <v>44</v>
      </c>
      <c r="C18">
        <v>43.2</v>
      </c>
      <c r="D18" t="str">
        <f t="shared" si="0"/>
        <v>2001/05/01 16:00:00</v>
      </c>
      <c r="F18" t="str">
        <v>2001/05/01 16:00:00</v>
      </c>
      <c r="G18">
        <f t="shared" si="1"/>
        <v>37012</v>
      </c>
    </row>
    <row r="19" spans="1:7">
      <c r="A19" s="1">
        <v>37043</v>
      </c>
      <c r="B19">
        <v>43.5</v>
      </c>
      <c r="C19">
        <v>42.1</v>
      </c>
      <c r="D19" t="str">
        <f t="shared" si="0"/>
        <v>2001/06/01 16:00:00</v>
      </c>
      <c r="F19" t="str">
        <v>2001/06/01 16:00:00</v>
      </c>
      <c r="G19">
        <f t="shared" si="1"/>
        <v>37043</v>
      </c>
    </row>
    <row r="20" spans="1:7">
      <c r="A20" s="1">
        <v>37074</v>
      </c>
      <c r="B20">
        <v>43</v>
      </c>
      <c r="C20">
        <v>44.7</v>
      </c>
      <c r="D20" t="str">
        <f t="shared" si="0"/>
        <v>2001/07/02 16:00:00</v>
      </c>
      <c r="F20" t="str">
        <v>2001/07/02 16:00:00</v>
      </c>
      <c r="G20">
        <f t="shared" si="1"/>
        <v>37074</v>
      </c>
    </row>
    <row r="21" spans="1:7">
      <c r="A21" s="1">
        <v>37104</v>
      </c>
      <c r="B21">
        <v>44.5</v>
      </c>
      <c r="C21">
        <v>43.6</v>
      </c>
      <c r="D21" t="str">
        <f t="shared" si="0"/>
        <v>2001/08/01 16:00:00</v>
      </c>
      <c r="F21" t="str">
        <v>2001/08/01 16:00:00</v>
      </c>
      <c r="G21">
        <f t="shared" si="1"/>
        <v>37104</v>
      </c>
    </row>
    <row r="22" spans="1:7">
      <c r="A22" s="1">
        <v>37138</v>
      </c>
      <c r="B22">
        <v>44</v>
      </c>
      <c r="C22">
        <v>47.9</v>
      </c>
      <c r="D22" t="str">
        <f t="shared" si="0"/>
        <v>2001/09/04 16:00:00</v>
      </c>
      <c r="F22" t="str">
        <v>2001/09/04 16:00:00</v>
      </c>
      <c r="G22">
        <f t="shared" si="1"/>
        <v>37138</v>
      </c>
    </row>
    <row r="23" spans="1:7">
      <c r="A23" s="1">
        <v>37165</v>
      </c>
      <c r="B23">
        <v>45.6</v>
      </c>
      <c r="C23">
        <v>47</v>
      </c>
      <c r="D23" t="str">
        <f t="shared" si="0"/>
        <v>2001/10/01 16:00:00</v>
      </c>
      <c r="F23" t="str">
        <v>2001/10/01 16:00:00</v>
      </c>
      <c r="G23">
        <f t="shared" si="1"/>
        <v>37165</v>
      </c>
    </row>
    <row r="24" spans="1:7">
      <c r="A24" s="1">
        <v>37196</v>
      </c>
      <c r="B24">
        <v>44.5</v>
      </c>
      <c r="C24">
        <v>39.799999999999997</v>
      </c>
      <c r="D24" t="str">
        <f t="shared" si="0"/>
        <v>2001/11/01 16:00:00</v>
      </c>
      <c r="F24" t="str">
        <v>2001/11/01 16:00:00</v>
      </c>
      <c r="G24">
        <f t="shared" si="1"/>
        <v>37196</v>
      </c>
    </row>
    <row r="25" spans="1:7">
      <c r="A25" s="1">
        <v>37228</v>
      </c>
      <c r="B25">
        <v>42</v>
      </c>
      <c r="C25">
        <v>44.5</v>
      </c>
      <c r="D25" t="str">
        <f t="shared" si="0"/>
        <v>2001/12/03 16:00:00</v>
      </c>
      <c r="F25" t="str">
        <v>2001/12/03 16:00:00</v>
      </c>
      <c r="G25">
        <f t="shared" si="1"/>
        <v>37228</v>
      </c>
    </row>
    <row r="26" spans="1:7">
      <c r="A26" s="1">
        <v>37258</v>
      </c>
      <c r="B26">
        <v>46</v>
      </c>
      <c r="C26">
        <v>48.2</v>
      </c>
      <c r="D26" t="str">
        <f t="shared" si="0"/>
        <v>2002/01/02 16:00:00</v>
      </c>
      <c r="F26" t="str">
        <v>2002/01/02 16:00:00</v>
      </c>
      <c r="G26">
        <f t="shared" si="1"/>
        <v>37258</v>
      </c>
    </row>
    <row r="27" spans="1:7">
      <c r="A27" s="1">
        <v>37288</v>
      </c>
      <c r="B27">
        <v>50</v>
      </c>
      <c r="C27">
        <v>49.9</v>
      </c>
      <c r="D27" t="str">
        <f t="shared" si="0"/>
        <v>2002/02/01 16:00:00</v>
      </c>
      <c r="F27" t="str">
        <v>2002/02/01 16:00:00</v>
      </c>
      <c r="G27">
        <f t="shared" si="1"/>
        <v>37288</v>
      </c>
    </row>
    <row r="28" spans="1:7">
      <c r="A28" s="1">
        <v>37316</v>
      </c>
      <c r="B28">
        <v>51</v>
      </c>
      <c r="C28">
        <v>54.7</v>
      </c>
      <c r="D28" t="str">
        <f t="shared" si="0"/>
        <v>2002/03/01 16:00:00</v>
      </c>
      <c r="F28" t="str">
        <v>2002/03/01 16:00:00</v>
      </c>
      <c r="G28">
        <f t="shared" si="1"/>
        <v>37316</v>
      </c>
    </row>
    <row r="29" spans="1:7">
      <c r="A29" s="1">
        <v>37347</v>
      </c>
      <c r="B29">
        <v>54.8</v>
      </c>
      <c r="C29">
        <v>55.6</v>
      </c>
      <c r="D29" t="str">
        <f t="shared" si="0"/>
        <v>2002/04/01 17:00:00</v>
      </c>
      <c r="F29" t="str">
        <v>2002/04/01 17:00:00</v>
      </c>
      <c r="G29">
        <f t="shared" si="1"/>
        <v>37347</v>
      </c>
    </row>
    <row r="30" spans="1:7">
      <c r="A30" s="1">
        <v>37377</v>
      </c>
      <c r="B30">
        <v>55</v>
      </c>
      <c r="C30">
        <v>53.9</v>
      </c>
      <c r="D30" t="str">
        <f t="shared" si="0"/>
        <v>2002/05/01 16:00:00</v>
      </c>
      <c r="F30" t="str">
        <v>2002/05/01 16:00:00</v>
      </c>
      <c r="G30">
        <f t="shared" si="1"/>
        <v>37377</v>
      </c>
    </row>
    <row r="31" spans="1:7">
      <c r="A31" s="1">
        <v>37410</v>
      </c>
      <c r="B31">
        <v>54.7</v>
      </c>
      <c r="C31">
        <v>55.7</v>
      </c>
      <c r="D31" t="str">
        <f t="shared" si="0"/>
        <v>2002/06/03 16:00:00</v>
      </c>
      <c r="F31" t="str">
        <v>2002/06/03 16:00:00</v>
      </c>
      <c r="G31">
        <f t="shared" si="1"/>
        <v>37410</v>
      </c>
    </row>
    <row r="32" spans="1:7">
      <c r="A32" s="1">
        <v>37438</v>
      </c>
      <c r="B32">
        <v>55.5</v>
      </c>
      <c r="C32">
        <v>56.2</v>
      </c>
      <c r="D32" t="str">
        <f t="shared" si="0"/>
        <v>2002/07/01 16:00:00</v>
      </c>
      <c r="F32" t="str">
        <v>2002/07/01 16:00:00</v>
      </c>
      <c r="G32">
        <f t="shared" si="1"/>
        <v>37438</v>
      </c>
    </row>
    <row r="33" spans="1:7">
      <c r="A33" s="1">
        <v>37469</v>
      </c>
      <c r="B33">
        <v>55</v>
      </c>
      <c r="C33">
        <v>50.5</v>
      </c>
      <c r="D33" t="str">
        <f t="shared" si="0"/>
        <v>2002/08/01 16:00:00</v>
      </c>
      <c r="F33" t="str">
        <v>2002/08/01 16:00:00</v>
      </c>
      <c r="G33">
        <f t="shared" si="1"/>
        <v>37469</v>
      </c>
    </row>
    <row r="34" spans="1:7">
      <c r="A34" s="1">
        <v>37502</v>
      </c>
      <c r="B34">
        <v>51.8</v>
      </c>
      <c r="C34">
        <v>50.5</v>
      </c>
      <c r="D34" t="str">
        <f t="shared" si="0"/>
        <v>2002/09/03 16:00:00</v>
      </c>
      <c r="F34" t="str">
        <v>2002/09/03 16:00:00</v>
      </c>
      <c r="G34">
        <f t="shared" si="1"/>
        <v>37502</v>
      </c>
    </row>
    <row r="35" spans="1:7">
      <c r="A35" s="1">
        <v>37530</v>
      </c>
      <c r="B35">
        <v>50.9</v>
      </c>
      <c r="C35">
        <v>49.5</v>
      </c>
      <c r="D35" t="str">
        <f t="shared" si="0"/>
        <v>2002/10/01 16:00:00</v>
      </c>
      <c r="F35" t="str">
        <v>2002/10/01 16:00:00</v>
      </c>
      <c r="G35">
        <f t="shared" si="1"/>
        <v>37530</v>
      </c>
    </row>
    <row r="36" spans="1:7">
      <c r="A36" s="1">
        <v>37561</v>
      </c>
      <c r="B36">
        <v>49</v>
      </c>
      <c r="C36">
        <v>48.5</v>
      </c>
      <c r="D36" t="str">
        <f t="shared" si="0"/>
        <v>2002/11/01 16:00:00</v>
      </c>
      <c r="F36" t="str">
        <v>2002/11/01 16:00:00</v>
      </c>
      <c r="G36">
        <f t="shared" si="1"/>
        <v>37561</v>
      </c>
    </row>
    <row r="37" spans="1:7">
      <c r="A37" s="1">
        <v>37592</v>
      </c>
      <c r="B37">
        <v>51</v>
      </c>
      <c r="C37">
        <v>49.2</v>
      </c>
      <c r="D37" t="str">
        <f t="shared" si="0"/>
        <v>2002/12/02 16:00:00</v>
      </c>
      <c r="F37" t="str">
        <v>2002/12/02 16:00:00</v>
      </c>
      <c r="G37">
        <f t="shared" si="1"/>
        <v>37592</v>
      </c>
    </row>
    <row r="38" spans="1:7">
      <c r="A38" s="1">
        <v>37623</v>
      </c>
      <c r="B38">
        <v>50</v>
      </c>
      <c r="C38">
        <v>54.7</v>
      </c>
      <c r="D38" t="str">
        <f t="shared" si="0"/>
        <v>2003/01/02 16:00:00</v>
      </c>
      <c r="F38" t="str">
        <v>2003/01/02 16:00:00</v>
      </c>
      <c r="G38">
        <f t="shared" si="1"/>
        <v>37623</v>
      </c>
    </row>
    <row r="39" spans="1:7">
      <c r="A39" s="1">
        <v>37655</v>
      </c>
      <c r="B39">
        <v>54</v>
      </c>
      <c r="C39">
        <v>53.9</v>
      </c>
      <c r="D39" t="str">
        <f t="shared" si="0"/>
        <v>2003/02/03 16:00:00</v>
      </c>
      <c r="F39" t="str">
        <v>2003/02/03 16:00:00</v>
      </c>
      <c r="G39">
        <f t="shared" si="1"/>
        <v>37655</v>
      </c>
    </row>
    <row r="40" spans="1:7">
      <c r="A40" s="1">
        <v>37683</v>
      </c>
      <c r="B40">
        <v>52</v>
      </c>
      <c r="C40">
        <v>50.5</v>
      </c>
      <c r="D40" t="str">
        <f t="shared" si="0"/>
        <v>2003/03/03 16:00:00</v>
      </c>
      <c r="F40" t="str">
        <v>2003/03/03 16:00:00</v>
      </c>
      <c r="G40">
        <f t="shared" si="1"/>
        <v>37683</v>
      </c>
    </row>
    <row r="41" spans="1:7">
      <c r="A41" s="1">
        <v>37712</v>
      </c>
      <c r="B41">
        <v>49</v>
      </c>
      <c r="C41">
        <v>46.2</v>
      </c>
      <c r="D41" t="str">
        <f t="shared" si="0"/>
        <v>2003/04/01 17:00:00</v>
      </c>
      <c r="F41" t="str">
        <v>2003/04/01 17:00:00</v>
      </c>
      <c r="G41">
        <f t="shared" si="1"/>
        <v>37712</v>
      </c>
    </row>
    <row r="42" spans="1:7">
      <c r="A42" s="1">
        <v>37742</v>
      </c>
      <c r="B42">
        <v>47.2</v>
      </c>
      <c r="C42">
        <v>45.4</v>
      </c>
      <c r="D42" t="str">
        <f t="shared" si="0"/>
        <v>2003/05/01 16:00:00</v>
      </c>
      <c r="F42" t="str">
        <v>2003/05/01 16:00:00</v>
      </c>
      <c r="G42">
        <f t="shared" si="1"/>
        <v>37742</v>
      </c>
    </row>
    <row r="43" spans="1:7">
      <c r="A43" s="1">
        <v>37774</v>
      </c>
      <c r="B43">
        <v>48.7</v>
      </c>
      <c r="C43">
        <v>49.4</v>
      </c>
      <c r="D43" t="str">
        <f t="shared" si="0"/>
        <v>2003/06/02 16:00:00</v>
      </c>
      <c r="F43" t="str">
        <v>2003/06/02 16:00:00</v>
      </c>
      <c r="G43">
        <f t="shared" si="1"/>
        <v>37774</v>
      </c>
    </row>
    <row r="44" spans="1:7">
      <c r="A44" s="1">
        <v>37803</v>
      </c>
      <c r="B44">
        <v>51</v>
      </c>
      <c r="C44">
        <v>49.8</v>
      </c>
      <c r="D44" t="str">
        <f t="shared" si="0"/>
        <v>2003/07/01 16:00:00</v>
      </c>
      <c r="F44" t="str">
        <v>2003/07/01 16:00:00</v>
      </c>
      <c r="G44">
        <f t="shared" si="1"/>
        <v>37803</v>
      </c>
    </row>
    <row r="45" spans="1:7">
      <c r="A45" s="1">
        <v>37834</v>
      </c>
      <c r="B45">
        <v>52</v>
      </c>
      <c r="C45">
        <v>51.8</v>
      </c>
      <c r="D45" t="str">
        <f t="shared" si="0"/>
        <v>2003/08/01 16:00:00</v>
      </c>
      <c r="F45" t="str">
        <v>2003/08/01 16:00:00</v>
      </c>
      <c r="G45">
        <f t="shared" si="1"/>
        <v>37834</v>
      </c>
    </row>
    <row r="46" spans="1:7">
      <c r="A46" s="1">
        <v>37866</v>
      </c>
      <c r="B46">
        <v>54</v>
      </c>
      <c r="C46">
        <v>54.7</v>
      </c>
      <c r="D46" t="str">
        <f t="shared" si="0"/>
        <v>2003/09/02 16:00:00</v>
      </c>
      <c r="F46" t="str">
        <v>2003/09/02 16:00:00</v>
      </c>
      <c r="G46">
        <f t="shared" si="1"/>
        <v>37866</v>
      </c>
    </row>
    <row r="47" spans="1:7">
      <c r="A47" s="1">
        <v>37895</v>
      </c>
      <c r="B47">
        <v>54.5</v>
      </c>
      <c r="C47">
        <v>53.7</v>
      </c>
      <c r="D47" t="str">
        <f t="shared" si="0"/>
        <v>2003/10/01 16:00:00</v>
      </c>
      <c r="F47" t="str">
        <v>2003/10/01 16:00:00</v>
      </c>
      <c r="G47">
        <f t="shared" si="1"/>
        <v>37895</v>
      </c>
    </row>
    <row r="48" spans="1:7">
      <c r="A48" s="1">
        <v>37928</v>
      </c>
      <c r="B48">
        <v>56</v>
      </c>
      <c r="C48">
        <v>57</v>
      </c>
      <c r="D48" t="str">
        <f t="shared" si="0"/>
        <v>2003/11/03 16:00:00</v>
      </c>
      <c r="F48" t="str">
        <v>2003/11/03 16:00:00</v>
      </c>
      <c r="G48">
        <f t="shared" si="1"/>
        <v>37928</v>
      </c>
    </row>
    <row r="49" spans="1:7">
      <c r="A49" s="1">
        <v>37956</v>
      </c>
      <c r="B49">
        <v>58.5</v>
      </c>
      <c r="C49">
        <v>62.8</v>
      </c>
      <c r="D49" t="str">
        <f t="shared" si="0"/>
        <v>2003/12/01 16:00:00</v>
      </c>
      <c r="F49" t="str">
        <v>2003/12/01 16:00:00</v>
      </c>
      <c r="G49">
        <f t="shared" si="1"/>
        <v>37956</v>
      </c>
    </row>
    <row r="50" spans="1:7">
      <c r="A50" s="1">
        <v>37988</v>
      </c>
      <c r="B50">
        <v>61</v>
      </c>
      <c r="C50">
        <v>66.2</v>
      </c>
      <c r="D50" t="str">
        <f t="shared" si="0"/>
        <v>2004/01/02 16:00:00</v>
      </c>
      <c r="F50" t="str">
        <v>2004/01/02 16:00:00</v>
      </c>
      <c r="G50">
        <f t="shared" si="1"/>
        <v>37988</v>
      </c>
    </row>
    <row r="51" spans="1:7">
      <c r="A51" s="1">
        <v>38019</v>
      </c>
      <c r="B51">
        <v>64</v>
      </c>
      <c r="C51">
        <v>63.6</v>
      </c>
      <c r="D51" t="str">
        <f t="shared" si="0"/>
        <v>2004/02/02 16:00:00</v>
      </c>
      <c r="F51" t="str">
        <v>2004/02/02 16:00:00</v>
      </c>
      <c r="G51">
        <f t="shared" si="1"/>
        <v>38019</v>
      </c>
    </row>
    <row r="52" spans="1:7">
      <c r="A52" s="1">
        <v>38047</v>
      </c>
      <c r="B52">
        <v>62</v>
      </c>
      <c r="C52">
        <v>61.4</v>
      </c>
      <c r="D52" t="str">
        <f t="shared" si="0"/>
        <v>2004/03/01 16:00:00</v>
      </c>
      <c r="F52" t="str">
        <v>2004/03/01 16:00:00</v>
      </c>
      <c r="G52">
        <f t="shared" si="1"/>
        <v>38047</v>
      </c>
    </row>
    <row r="53" spans="1:7">
      <c r="A53" s="1">
        <v>38078</v>
      </c>
      <c r="B53">
        <v>59.5</v>
      </c>
      <c r="C53">
        <v>62.5</v>
      </c>
      <c r="D53" t="str">
        <f t="shared" si="0"/>
        <v>2004/04/01 17:00:00</v>
      </c>
      <c r="F53" t="str">
        <v>2004/04/01 17:00:00</v>
      </c>
      <c r="G53">
        <f t="shared" si="1"/>
        <v>38078</v>
      </c>
    </row>
    <row r="54" spans="1:7">
      <c r="A54" s="1">
        <v>38110</v>
      </c>
      <c r="B54">
        <v>62.7</v>
      </c>
      <c r="C54">
        <v>62.4</v>
      </c>
      <c r="D54" t="str">
        <f t="shared" si="0"/>
        <v>2004/05/03 16:00:00</v>
      </c>
      <c r="F54" t="str">
        <v>2004/05/03 16:00:00</v>
      </c>
      <c r="G54">
        <f t="shared" si="1"/>
        <v>38110</v>
      </c>
    </row>
    <row r="55" spans="1:7">
      <c r="A55" s="1">
        <v>38139</v>
      </c>
      <c r="B55">
        <v>61.5</v>
      </c>
      <c r="C55">
        <v>62.8</v>
      </c>
      <c r="D55" t="str">
        <f t="shared" si="0"/>
        <v>2004/06/01 16:00:00</v>
      </c>
      <c r="F55" t="str">
        <v>2004/06/01 16:00:00</v>
      </c>
      <c r="G55">
        <f t="shared" si="1"/>
        <v>38139</v>
      </c>
    </row>
    <row r="56" spans="1:7">
      <c r="A56" s="1">
        <v>38169</v>
      </c>
      <c r="B56">
        <v>61</v>
      </c>
      <c r="C56">
        <v>61.1</v>
      </c>
      <c r="D56" t="str">
        <f t="shared" si="0"/>
        <v>2004/07/01 16:00:00</v>
      </c>
      <c r="F56" t="str">
        <v>2004/07/01 16:00:00</v>
      </c>
      <c r="G56">
        <f t="shared" si="1"/>
        <v>38169</v>
      </c>
    </row>
    <row r="57" spans="1:7">
      <c r="A57" s="1">
        <v>38201</v>
      </c>
      <c r="B57">
        <v>62</v>
      </c>
      <c r="C57">
        <v>62</v>
      </c>
      <c r="D57" t="str">
        <f t="shared" si="0"/>
        <v>2004/08/02 16:00:00</v>
      </c>
      <c r="F57" t="str">
        <v>2004/08/02 16:00:00</v>
      </c>
      <c r="G57">
        <f t="shared" si="1"/>
        <v>38201</v>
      </c>
    </row>
    <row r="58" spans="1:7">
      <c r="A58" s="1">
        <v>38231</v>
      </c>
      <c r="B58">
        <v>60</v>
      </c>
      <c r="C58">
        <v>59</v>
      </c>
      <c r="D58" t="str">
        <f t="shared" si="0"/>
        <v>2004/09/01 16:00:00</v>
      </c>
      <c r="F58" t="str">
        <v>2004/09/01 16:00:00</v>
      </c>
      <c r="G58">
        <f t="shared" si="1"/>
        <v>38231</v>
      </c>
    </row>
    <row r="59" spans="1:7">
      <c r="A59" s="1">
        <v>38261</v>
      </c>
      <c r="B59">
        <v>58.4</v>
      </c>
      <c r="C59">
        <v>58.5</v>
      </c>
      <c r="D59" t="str">
        <f t="shared" si="0"/>
        <v>2004/10/01 16:00:00</v>
      </c>
      <c r="F59" t="str">
        <v>2004/10/01 16:00:00</v>
      </c>
      <c r="G59">
        <f t="shared" si="1"/>
        <v>38261</v>
      </c>
    </row>
    <row r="60" spans="1:7">
      <c r="A60" s="1">
        <v>38292</v>
      </c>
      <c r="B60">
        <v>58.5</v>
      </c>
      <c r="C60">
        <v>56.8</v>
      </c>
      <c r="D60" t="str">
        <f t="shared" si="0"/>
        <v>2004/11/01 16:00:00</v>
      </c>
      <c r="F60" t="str">
        <v>2004/11/01 16:00:00</v>
      </c>
      <c r="G60">
        <f t="shared" si="1"/>
        <v>38292</v>
      </c>
    </row>
    <row r="61" spans="1:7">
      <c r="A61" s="1">
        <v>38322</v>
      </c>
      <c r="B61">
        <v>57</v>
      </c>
      <c r="C61">
        <v>57.8</v>
      </c>
      <c r="D61" t="str">
        <f t="shared" si="0"/>
        <v>2004/12/01 16:00:00</v>
      </c>
      <c r="F61" t="str">
        <v>2004/12/01 16:00:00</v>
      </c>
      <c r="G61">
        <f t="shared" si="1"/>
        <v>38322</v>
      </c>
    </row>
    <row r="62" spans="1:7">
      <c r="A62" s="1">
        <v>38355</v>
      </c>
      <c r="B62">
        <v>58.5</v>
      </c>
      <c r="C62">
        <v>58.6</v>
      </c>
      <c r="D62" t="str">
        <f t="shared" si="0"/>
        <v>2005/01/03 16:00:00</v>
      </c>
      <c r="F62" t="str">
        <v>2005/01/03 16:00:00</v>
      </c>
      <c r="G62">
        <f t="shared" si="1"/>
        <v>38355</v>
      </c>
    </row>
    <row r="63" spans="1:7">
      <c r="A63" s="1">
        <v>38384</v>
      </c>
      <c r="B63">
        <v>57</v>
      </c>
      <c r="C63">
        <v>56.4</v>
      </c>
      <c r="D63" t="str">
        <f t="shared" si="0"/>
        <v>2005/02/01 16:00:00</v>
      </c>
      <c r="F63" t="str">
        <v>2005/02/01 16:00:00</v>
      </c>
      <c r="G63">
        <f t="shared" si="1"/>
        <v>38384</v>
      </c>
    </row>
    <row r="64" spans="1:7">
      <c r="A64" s="1">
        <v>38412</v>
      </c>
      <c r="B64">
        <v>57</v>
      </c>
      <c r="C64">
        <v>55.3</v>
      </c>
      <c r="D64" t="str">
        <f t="shared" si="0"/>
        <v>2005/03/01 16:00:00</v>
      </c>
      <c r="F64" t="str">
        <v>2005/03/01 16:00:00</v>
      </c>
      <c r="G64">
        <f t="shared" si="1"/>
        <v>38412</v>
      </c>
    </row>
    <row r="65" spans="1:7">
      <c r="A65" s="1">
        <v>38443</v>
      </c>
      <c r="B65">
        <v>55</v>
      </c>
      <c r="C65">
        <v>55.2</v>
      </c>
      <c r="D65" t="str">
        <f t="shared" si="0"/>
        <v>2005/04/01 17:00:00</v>
      </c>
      <c r="F65" t="str">
        <v>2005/04/01 17:00:00</v>
      </c>
      <c r="G65">
        <f t="shared" si="1"/>
        <v>38443</v>
      </c>
    </row>
    <row r="66" spans="1:7">
      <c r="A66" s="1">
        <v>38474</v>
      </c>
      <c r="B66">
        <v>55</v>
      </c>
      <c r="C66">
        <v>53.3</v>
      </c>
      <c r="D66" t="str">
        <f t="shared" si="0"/>
        <v>2005/05/02 16:00:00</v>
      </c>
      <c r="F66" t="str">
        <v>2005/05/02 16:00:00</v>
      </c>
      <c r="G66">
        <f t="shared" si="1"/>
        <v>38474</v>
      </c>
    </row>
    <row r="67" spans="1:7">
      <c r="A67" s="1">
        <v>38504</v>
      </c>
      <c r="B67">
        <v>52</v>
      </c>
      <c r="C67">
        <v>51.4</v>
      </c>
      <c r="D67" t="str">
        <f t="shared" ref="D67:D130" si="2">_xlfn.XLOOKUP(A67,$G:$G,$F:$F,"")</f>
        <v>2005/06/01 16:00:00</v>
      </c>
      <c r="F67" t="str">
        <v>2005/06/01 16:00:00</v>
      </c>
      <c r="G67">
        <f t="shared" ref="G67:G130" si="3">INT(F67)</f>
        <v>38504</v>
      </c>
    </row>
    <row r="68" spans="1:7">
      <c r="A68" s="1">
        <v>38534</v>
      </c>
      <c r="B68">
        <v>51.4</v>
      </c>
      <c r="C68">
        <v>53.8</v>
      </c>
      <c r="D68" t="str">
        <f t="shared" si="2"/>
        <v>2005/07/01 16:00:00</v>
      </c>
      <c r="F68" t="str">
        <v>2005/07/01 16:00:00</v>
      </c>
      <c r="G68">
        <f t="shared" si="3"/>
        <v>38534</v>
      </c>
    </row>
    <row r="69" spans="1:7">
      <c r="A69" s="1">
        <v>38565</v>
      </c>
      <c r="B69">
        <v>54.5</v>
      </c>
      <c r="C69">
        <v>56.6</v>
      </c>
      <c r="D69" t="str">
        <f t="shared" si="2"/>
        <v>2005/08/01 16:00:00</v>
      </c>
      <c r="F69" t="str">
        <v>2005/08/01 16:00:00</v>
      </c>
      <c r="G69">
        <f t="shared" si="3"/>
        <v>38565</v>
      </c>
    </row>
    <row r="70" spans="1:7">
      <c r="A70" s="1">
        <v>38596</v>
      </c>
      <c r="B70">
        <v>57</v>
      </c>
      <c r="C70">
        <v>53.6</v>
      </c>
      <c r="D70" t="str">
        <f t="shared" si="2"/>
        <v>2005/09/01 16:00:00</v>
      </c>
      <c r="F70" t="str">
        <v>2005/09/01 16:00:00</v>
      </c>
      <c r="G70">
        <f t="shared" si="3"/>
        <v>38596</v>
      </c>
    </row>
    <row r="71" spans="1:7">
      <c r="A71" s="1">
        <v>38628</v>
      </c>
      <c r="B71">
        <v>52</v>
      </c>
      <c r="C71">
        <v>59.4</v>
      </c>
      <c r="D71" t="str">
        <f t="shared" si="2"/>
        <v>2005/10/03 16:00:00</v>
      </c>
      <c r="F71" t="str">
        <v>2005/10/03 16:00:00</v>
      </c>
      <c r="G71">
        <f t="shared" si="3"/>
        <v>38628</v>
      </c>
    </row>
    <row r="72" spans="1:7">
      <c r="A72" s="1">
        <v>38657</v>
      </c>
      <c r="B72">
        <v>57.2</v>
      </c>
      <c r="C72">
        <v>59.1</v>
      </c>
      <c r="D72" t="str">
        <f t="shared" si="2"/>
        <v>2005/11/01 16:00:00</v>
      </c>
      <c r="F72" t="str">
        <v>2005/11/01 16:00:00</v>
      </c>
      <c r="G72">
        <f t="shared" si="3"/>
        <v>38657</v>
      </c>
    </row>
    <row r="73" spans="1:7">
      <c r="A73" s="1">
        <v>38687</v>
      </c>
      <c r="B73">
        <v>58</v>
      </c>
      <c r="C73">
        <v>58.1</v>
      </c>
      <c r="D73" t="str">
        <f t="shared" si="2"/>
        <v>2005/12/01 16:00:00</v>
      </c>
      <c r="F73" t="str">
        <v>2005/12/01 16:00:00</v>
      </c>
      <c r="G73">
        <f t="shared" si="3"/>
        <v>38687</v>
      </c>
    </row>
    <row r="74" spans="1:7">
      <c r="A74" s="1">
        <v>38720</v>
      </c>
      <c r="B74">
        <v>57.5</v>
      </c>
      <c r="C74">
        <v>54.2</v>
      </c>
      <c r="D74" t="str">
        <f t="shared" si="2"/>
        <v>2006/01/03 16:00:00</v>
      </c>
      <c r="F74" t="str">
        <v>2006/01/03 16:00:00</v>
      </c>
      <c r="G74">
        <f t="shared" si="3"/>
        <v>38720</v>
      </c>
    </row>
    <row r="75" spans="1:7">
      <c r="A75" s="1">
        <v>38749</v>
      </c>
      <c r="B75">
        <v>55.5</v>
      </c>
      <c r="C75">
        <v>54.8</v>
      </c>
      <c r="D75" t="str">
        <f t="shared" si="2"/>
        <v>2006/02/01 16:00:00</v>
      </c>
      <c r="F75" t="str">
        <v>2006/02/01 16:00:00</v>
      </c>
      <c r="G75">
        <f t="shared" si="3"/>
        <v>38749</v>
      </c>
    </row>
    <row r="76" spans="1:7">
      <c r="A76" s="1">
        <v>38777</v>
      </c>
      <c r="B76">
        <v>55.5</v>
      </c>
      <c r="C76">
        <v>56.7</v>
      </c>
      <c r="D76" t="str">
        <f t="shared" si="2"/>
        <v>2006/03/01 16:00:00</v>
      </c>
      <c r="F76" t="str">
        <v>2006/03/01 16:00:00</v>
      </c>
      <c r="G76">
        <f t="shared" si="3"/>
        <v>38777</v>
      </c>
    </row>
    <row r="77" spans="1:7">
      <c r="A77" s="1">
        <v>38810</v>
      </c>
      <c r="B77">
        <v>57.7</v>
      </c>
      <c r="C77">
        <v>55.2</v>
      </c>
      <c r="D77" t="str">
        <f t="shared" si="2"/>
        <v>2006/04/03 16:00:00</v>
      </c>
      <c r="F77" t="str">
        <v>2006/04/03 16:00:00</v>
      </c>
      <c r="G77">
        <f t="shared" si="3"/>
        <v>38810</v>
      </c>
    </row>
    <row r="78" spans="1:7">
      <c r="A78" s="1">
        <v>38838</v>
      </c>
      <c r="B78">
        <v>55</v>
      </c>
      <c r="C78">
        <v>57.3</v>
      </c>
      <c r="D78" t="str">
        <f t="shared" si="2"/>
        <v>2006/05/01 16:00:00</v>
      </c>
      <c r="F78" t="str">
        <v>2006/05/01 16:00:00</v>
      </c>
      <c r="G78">
        <f t="shared" si="3"/>
        <v>38838</v>
      </c>
    </row>
    <row r="79" spans="1:7">
      <c r="A79" s="1">
        <v>38869</v>
      </c>
      <c r="B79">
        <v>55.7</v>
      </c>
      <c r="C79">
        <v>54.4</v>
      </c>
      <c r="D79" t="str">
        <f t="shared" si="2"/>
        <v>2006/06/01 16:00:00</v>
      </c>
      <c r="F79" t="str">
        <v>2006/06/01 16:00:00</v>
      </c>
      <c r="G79">
        <f t="shared" si="3"/>
        <v>38869</v>
      </c>
    </row>
    <row r="80" spans="1:7">
      <c r="A80" s="1">
        <v>38901</v>
      </c>
      <c r="B80">
        <v>55</v>
      </c>
      <c r="C80">
        <v>53.8</v>
      </c>
      <c r="D80" t="str">
        <f t="shared" si="2"/>
        <v>2006/07/03 16:00:00</v>
      </c>
      <c r="F80" t="str">
        <v>2006/07/03 16:00:00</v>
      </c>
      <c r="G80">
        <f t="shared" si="3"/>
        <v>38901</v>
      </c>
    </row>
    <row r="81" spans="1:7">
      <c r="A81" s="1">
        <v>38930</v>
      </c>
      <c r="B81">
        <v>53.5</v>
      </c>
      <c r="C81">
        <v>54.7</v>
      </c>
      <c r="D81" t="str">
        <f t="shared" si="2"/>
        <v>2006/08/01 16:00:00</v>
      </c>
      <c r="F81" t="str">
        <v>2006/08/01 16:00:00</v>
      </c>
      <c r="G81">
        <f t="shared" si="3"/>
        <v>38930</v>
      </c>
    </row>
    <row r="82" spans="1:7">
      <c r="A82" s="1">
        <v>38961</v>
      </c>
      <c r="B82">
        <v>54.5</v>
      </c>
      <c r="C82">
        <v>54.5</v>
      </c>
      <c r="D82" t="str">
        <f t="shared" si="2"/>
        <v>2006/09/01 16:00:00</v>
      </c>
      <c r="F82" t="str">
        <v>2006/09/01 16:00:00</v>
      </c>
      <c r="G82">
        <f t="shared" si="3"/>
        <v>38961</v>
      </c>
    </row>
    <row r="83" spans="1:7">
      <c r="A83" s="1">
        <v>38992</v>
      </c>
      <c r="B83">
        <v>53.5</v>
      </c>
      <c r="C83">
        <v>52.9</v>
      </c>
      <c r="D83" t="str">
        <f t="shared" si="2"/>
        <v>2006/10/02 16:00:00</v>
      </c>
      <c r="F83" t="str">
        <v>2006/10/02 16:00:00</v>
      </c>
      <c r="G83">
        <f t="shared" si="3"/>
        <v>38992</v>
      </c>
    </row>
    <row r="84" spans="1:7">
      <c r="A84" s="1">
        <v>39022</v>
      </c>
      <c r="B84">
        <v>53</v>
      </c>
      <c r="C84">
        <v>51.2</v>
      </c>
      <c r="D84" t="str">
        <f t="shared" si="2"/>
        <v>2006/11/01 16:00:00</v>
      </c>
      <c r="F84" t="str">
        <v>2006/11/01 16:00:00</v>
      </c>
      <c r="G84">
        <f t="shared" si="3"/>
        <v>39022</v>
      </c>
    </row>
    <row r="85" spans="1:7">
      <c r="A85" s="1">
        <v>39052</v>
      </c>
      <c r="B85">
        <v>51.5</v>
      </c>
      <c r="C85">
        <v>49.5</v>
      </c>
      <c r="D85" t="str">
        <f t="shared" si="2"/>
        <v>2006/12/01 16:00:00</v>
      </c>
      <c r="F85" t="str">
        <v>2006/12/01 16:00:00</v>
      </c>
      <c r="G85">
        <f t="shared" si="3"/>
        <v>39052</v>
      </c>
    </row>
    <row r="86" spans="1:7">
      <c r="A86" s="1">
        <v>39085</v>
      </c>
      <c r="B86">
        <v>50</v>
      </c>
      <c r="C86">
        <v>51.4</v>
      </c>
      <c r="D86" t="str">
        <f t="shared" si="2"/>
        <v>2007/01/03 16:00:00</v>
      </c>
      <c r="F86" t="str">
        <v>2007/01/03 16:00:00</v>
      </c>
      <c r="G86">
        <f t="shared" si="3"/>
        <v>39085</v>
      </c>
    </row>
    <row r="87" spans="1:7">
      <c r="A87" s="1">
        <v>39114</v>
      </c>
      <c r="B87">
        <v>51.7</v>
      </c>
      <c r="C87">
        <v>49.3</v>
      </c>
      <c r="D87" t="str">
        <f t="shared" si="2"/>
        <v>2007/02/01 16:00:00</v>
      </c>
      <c r="F87" t="str">
        <v>2007/02/01 16:00:00</v>
      </c>
      <c r="G87">
        <f t="shared" si="3"/>
        <v>39114</v>
      </c>
    </row>
    <row r="88" spans="1:7">
      <c r="A88" s="1">
        <v>39142</v>
      </c>
      <c r="B88">
        <v>50</v>
      </c>
      <c r="C88">
        <v>52.3</v>
      </c>
      <c r="D88" t="str">
        <f t="shared" si="2"/>
        <v>2007/03/01 16:00:00</v>
      </c>
      <c r="F88" t="str">
        <v>2007/03/01 16:00:00</v>
      </c>
      <c r="G88">
        <f t="shared" si="3"/>
        <v>39142</v>
      </c>
    </row>
    <row r="89" spans="1:7">
      <c r="A89" s="1">
        <v>39174</v>
      </c>
      <c r="B89">
        <v>51.4</v>
      </c>
      <c r="C89">
        <v>50.9</v>
      </c>
      <c r="D89" t="str">
        <f t="shared" si="2"/>
        <v>2007/04/02 16:00:00</v>
      </c>
      <c r="F89" t="str">
        <v>2007/04/02 16:00:00</v>
      </c>
      <c r="G89">
        <f t="shared" si="3"/>
        <v>39174</v>
      </c>
    </row>
    <row r="90" spans="1:7">
      <c r="A90" s="1">
        <v>39203</v>
      </c>
      <c r="B90">
        <v>51</v>
      </c>
      <c r="C90">
        <v>54.7</v>
      </c>
      <c r="D90" t="str">
        <f t="shared" si="2"/>
        <v>2007/05/01 16:00:00</v>
      </c>
      <c r="F90" t="str">
        <v>2007/05/01 16:00:00</v>
      </c>
      <c r="G90">
        <f t="shared" si="3"/>
        <v>39203</v>
      </c>
    </row>
    <row r="91" spans="1:7">
      <c r="A91" s="1">
        <v>39234</v>
      </c>
      <c r="B91">
        <v>54</v>
      </c>
      <c r="C91">
        <v>55</v>
      </c>
      <c r="D91" t="str">
        <f t="shared" si="2"/>
        <v>2007/06/01 16:00:00</v>
      </c>
      <c r="F91" t="str">
        <v>2007/06/01 16:00:00</v>
      </c>
      <c r="G91">
        <f t="shared" si="3"/>
        <v>39234</v>
      </c>
    </row>
    <row r="92" spans="1:7">
      <c r="A92" s="1">
        <v>39265</v>
      </c>
      <c r="B92">
        <v>55</v>
      </c>
      <c r="C92">
        <v>56</v>
      </c>
      <c r="D92" t="str">
        <f t="shared" si="2"/>
        <v>2007/07/02 16:00:00</v>
      </c>
      <c r="F92" t="str">
        <v>2007/07/02 16:00:00</v>
      </c>
      <c r="G92">
        <f t="shared" si="3"/>
        <v>39265</v>
      </c>
    </row>
    <row r="93" spans="1:7">
      <c r="A93" s="1">
        <v>39295</v>
      </c>
      <c r="B93">
        <v>55</v>
      </c>
      <c r="C93">
        <v>53.8</v>
      </c>
      <c r="D93" t="str">
        <f t="shared" si="2"/>
        <v>2007/08/01 16:00:00</v>
      </c>
      <c r="F93" t="str">
        <v>2007/08/01 16:00:00</v>
      </c>
      <c r="G93">
        <f t="shared" si="3"/>
        <v>39295</v>
      </c>
    </row>
    <row r="94" spans="1:7">
      <c r="A94" s="1">
        <v>39329</v>
      </c>
      <c r="B94">
        <v>53</v>
      </c>
      <c r="C94">
        <v>52.9</v>
      </c>
      <c r="D94" t="str">
        <f t="shared" si="2"/>
        <v>2007/09/04 16:00:00</v>
      </c>
      <c r="F94" t="str">
        <v>2007/09/04 16:00:00</v>
      </c>
      <c r="G94">
        <f t="shared" si="3"/>
        <v>39329</v>
      </c>
    </row>
    <row r="95" spans="1:7">
      <c r="A95" s="1">
        <v>39356</v>
      </c>
      <c r="B95">
        <v>52.6</v>
      </c>
      <c r="C95">
        <v>52</v>
      </c>
      <c r="D95" t="str">
        <f t="shared" si="2"/>
        <v>2007/10/01 16:00:00</v>
      </c>
      <c r="F95" t="str">
        <v>2007/10/01 16:00:00</v>
      </c>
      <c r="G95">
        <f t="shared" si="3"/>
        <v>39356</v>
      </c>
    </row>
    <row r="96" spans="1:7">
      <c r="A96" s="1">
        <v>39387</v>
      </c>
      <c r="B96">
        <v>51.5</v>
      </c>
      <c r="C96">
        <v>50.9</v>
      </c>
      <c r="D96" t="str">
        <f t="shared" si="2"/>
        <v>2007/11/01 15:00:00</v>
      </c>
      <c r="F96" t="str">
        <v>2007/11/01 15:00:00</v>
      </c>
      <c r="G96">
        <f t="shared" si="3"/>
        <v>39387</v>
      </c>
    </row>
    <row r="97" spans="1:7">
      <c r="A97" s="1">
        <v>39419</v>
      </c>
      <c r="B97">
        <v>50.8</v>
      </c>
      <c r="C97">
        <v>50.8</v>
      </c>
      <c r="D97" t="str">
        <f t="shared" si="2"/>
        <v>2007/12/03 16:00:00</v>
      </c>
      <c r="F97" t="str">
        <v>2007/12/03 16:00:00</v>
      </c>
      <c r="G97">
        <f t="shared" si="3"/>
        <v>39419</v>
      </c>
    </row>
    <row r="98" spans="1:7">
      <c r="A98" s="1">
        <v>39449</v>
      </c>
      <c r="B98">
        <v>50.5</v>
      </c>
      <c r="C98">
        <v>47.7</v>
      </c>
      <c r="D98" t="str">
        <f t="shared" si="2"/>
        <v>2008/01/02 16:00:00</v>
      </c>
      <c r="F98" t="str">
        <v>2008/01/02 16:00:00</v>
      </c>
      <c r="G98">
        <f t="shared" si="3"/>
        <v>39449</v>
      </c>
    </row>
    <row r="99" spans="1:7">
      <c r="A99" s="1">
        <v>39479</v>
      </c>
      <c r="B99">
        <v>47.3</v>
      </c>
      <c r="C99">
        <v>50.7</v>
      </c>
      <c r="D99" t="str">
        <f t="shared" si="2"/>
        <v>2008/02/01 16:00:00</v>
      </c>
      <c r="F99" t="str">
        <v>2008/02/01 16:00:00</v>
      </c>
      <c r="G99">
        <f t="shared" si="3"/>
        <v>39479</v>
      </c>
    </row>
    <row r="100" spans="1:7">
      <c r="A100" s="1">
        <v>39510</v>
      </c>
      <c r="B100">
        <v>48</v>
      </c>
      <c r="C100">
        <v>48.3</v>
      </c>
      <c r="D100" t="str">
        <f t="shared" si="2"/>
        <v>2008/03/03 16:00:00</v>
      </c>
      <c r="F100" t="str">
        <v>2008/03/03 16:00:00</v>
      </c>
      <c r="G100">
        <f t="shared" si="3"/>
        <v>39510</v>
      </c>
    </row>
    <row r="101" spans="1:7">
      <c r="A101" s="1">
        <v>39539</v>
      </c>
      <c r="B101">
        <v>47.5</v>
      </c>
      <c r="C101">
        <v>48.6</v>
      </c>
      <c r="D101" t="str">
        <f t="shared" si="2"/>
        <v>2008/04/01 16:00:00</v>
      </c>
      <c r="F101" t="str">
        <v>2008/04/01 16:00:00</v>
      </c>
      <c r="G101">
        <f t="shared" si="3"/>
        <v>39539</v>
      </c>
    </row>
    <row r="102" spans="1:7">
      <c r="A102" s="1">
        <v>39569</v>
      </c>
      <c r="B102">
        <v>48</v>
      </c>
      <c r="C102">
        <v>48.6</v>
      </c>
      <c r="D102" t="str">
        <f t="shared" si="2"/>
        <v>2008/05/01 16:00:00</v>
      </c>
      <c r="F102" t="str">
        <v>2008/05/01 16:00:00</v>
      </c>
      <c r="G102">
        <f t="shared" si="3"/>
        <v>39569</v>
      </c>
    </row>
    <row r="103" spans="1:7">
      <c r="A103" s="1">
        <v>39601</v>
      </c>
      <c r="B103">
        <v>48.5</v>
      </c>
      <c r="C103">
        <v>49.6</v>
      </c>
      <c r="D103" t="str">
        <f t="shared" si="2"/>
        <v>2008/06/02 16:00:00</v>
      </c>
      <c r="F103" t="str">
        <v>2008/06/02 16:00:00</v>
      </c>
      <c r="G103">
        <f t="shared" si="3"/>
        <v>39601</v>
      </c>
    </row>
    <row r="104" spans="1:7">
      <c r="A104" s="1">
        <v>39630</v>
      </c>
      <c r="B104">
        <v>48.5</v>
      </c>
      <c r="C104">
        <v>50.2</v>
      </c>
      <c r="D104" t="str">
        <f t="shared" si="2"/>
        <v>2008/07/01 16:00:00</v>
      </c>
      <c r="F104" t="str">
        <v>2008/07/01 16:00:00</v>
      </c>
      <c r="G104">
        <f t="shared" si="3"/>
        <v>39630</v>
      </c>
    </row>
    <row r="105" spans="1:7">
      <c r="A105" s="1">
        <v>39661</v>
      </c>
      <c r="B105">
        <v>49</v>
      </c>
      <c r="C105">
        <v>50</v>
      </c>
      <c r="D105" t="str">
        <f t="shared" si="2"/>
        <v>2008/08/01 16:00:00</v>
      </c>
      <c r="F105" t="str">
        <v>2008/08/01 16:00:00</v>
      </c>
      <c r="G105">
        <f t="shared" si="3"/>
        <v>39661</v>
      </c>
    </row>
    <row r="106" spans="1:7">
      <c r="A106" s="1">
        <v>39693</v>
      </c>
      <c r="B106">
        <v>50</v>
      </c>
      <c r="C106">
        <v>49.9</v>
      </c>
      <c r="D106" t="str">
        <f t="shared" si="2"/>
        <v>2008/09/02 16:00:00</v>
      </c>
      <c r="F106" t="str">
        <v>2008/09/02 16:00:00</v>
      </c>
      <c r="G106">
        <f t="shared" si="3"/>
        <v>39693</v>
      </c>
    </row>
    <row r="107" spans="1:7">
      <c r="A107" s="1">
        <v>39722</v>
      </c>
      <c r="B107">
        <v>49.5</v>
      </c>
      <c r="C107">
        <v>43.5</v>
      </c>
      <c r="D107" t="str">
        <f t="shared" si="2"/>
        <v>2008/10/01 16:00:00</v>
      </c>
      <c r="F107" t="str">
        <v>2008/10/01 16:00:00</v>
      </c>
      <c r="G107">
        <f t="shared" si="3"/>
        <v>39722</v>
      </c>
    </row>
    <row r="108" spans="1:7">
      <c r="A108" s="1">
        <v>39755</v>
      </c>
      <c r="B108">
        <v>41</v>
      </c>
      <c r="C108">
        <v>38.9</v>
      </c>
      <c r="D108" t="str">
        <f t="shared" si="2"/>
        <v>2008/11/03 16:00:00</v>
      </c>
      <c r="F108" t="str">
        <v>2008/11/03 16:00:00</v>
      </c>
      <c r="G108">
        <f t="shared" si="3"/>
        <v>39755</v>
      </c>
    </row>
    <row r="109" spans="1:7">
      <c r="A109" s="1">
        <v>39783</v>
      </c>
      <c r="B109">
        <v>37</v>
      </c>
      <c r="C109">
        <v>36.200000000000003</v>
      </c>
      <c r="D109" t="str">
        <f t="shared" si="2"/>
        <v>2008/12/01 16:00:00</v>
      </c>
      <c r="F109" t="str">
        <v>2008/12/01 16:00:00</v>
      </c>
      <c r="G109">
        <f t="shared" si="3"/>
        <v>39783</v>
      </c>
    </row>
    <row r="110" spans="1:7">
      <c r="A110" s="1">
        <v>39815</v>
      </c>
      <c r="B110">
        <v>35.4</v>
      </c>
      <c r="C110">
        <v>32.4</v>
      </c>
      <c r="D110" t="str">
        <f t="shared" si="2"/>
        <v>2009/01/02 16:00:00</v>
      </c>
      <c r="F110" t="str">
        <v>2009/01/02 16:00:00</v>
      </c>
      <c r="G110">
        <f t="shared" si="3"/>
        <v>39815</v>
      </c>
    </row>
    <row r="111" spans="1:7">
      <c r="A111" s="1">
        <v>39846</v>
      </c>
      <c r="B111">
        <v>32.5</v>
      </c>
      <c r="C111">
        <v>35.6</v>
      </c>
      <c r="D111" t="str">
        <f t="shared" si="2"/>
        <v>2009/02/02 16:00:00</v>
      </c>
      <c r="F111" t="str">
        <v>2009/02/02 16:00:00</v>
      </c>
      <c r="G111">
        <f t="shared" si="3"/>
        <v>39846</v>
      </c>
    </row>
    <row r="112" spans="1:7">
      <c r="A112" s="1">
        <v>39874</v>
      </c>
      <c r="B112">
        <v>33.799999999999997</v>
      </c>
      <c r="C112">
        <v>35.799999999999997</v>
      </c>
      <c r="D112" t="str">
        <f t="shared" si="2"/>
        <v>2009/03/02 16:00:00</v>
      </c>
      <c r="F112" t="str">
        <v>2009/03/02 16:00:00</v>
      </c>
      <c r="G112">
        <f t="shared" si="3"/>
        <v>39874</v>
      </c>
    </row>
    <row r="113" spans="1:7">
      <c r="A113" s="1">
        <v>39904</v>
      </c>
      <c r="B113">
        <v>36</v>
      </c>
      <c r="C113">
        <v>36.299999999999997</v>
      </c>
      <c r="D113" t="str">
        <f t="shared" si="2"/>
        <v>2009/04/01 16:00:00</v>
      </c>
      <c r="F113" t="str">
        <v>2009/04/01 16:00:00</v>
      </c>
      <c r="G113">
        <f t="shared" si="3"/>
        <v>39904</v>
      </c>
    </row>
    <row r="114" spans="1:7">
      <c r="A114" s="1">
        <v>39934</v>
      </c>
      <c r="B114">
        <v>38.4</v>
      </c>
      <c r="C114">
        <v>40.1</v>
      </c>
      <c r="D114" t="str">
        <f t="shared" si="2"/>
        <v>2009/05/01 16:00:00</v>
      </c>
      <c r="F114" t="str">
        <v>2009/05/01 16:00:00</v>
      </c>
      <c r="G114">
        <f t="shared" si="3"/>
        <v>39934</v>
      </c>
    </row>
    <row r="115" spans="1:7">
      <c r="A115" s="1">
        <v>39965</v>
      </c>
      <c r="B115">
        <v>42.3</v>
      </c>
      <c r="C115">
        <v>42.8</v>
      </c>
      <c r="D115" t="str">
        <f t="shared" si="2"/>
        <v>2009/06/01 16:00:00</v>
      </c>
      <c r="F115" t="str">
        <v>2009/06/01 16:00:00</v>
      </c>
      <c r="G115">
        <f t="shared" si="3"/>
        <v>39965</v>
      </c>
    </row>
    <row r="116" spans="1:7">
      <c r="A116" s="1">
        <v>39995</v>
      </c>
      <c r="B116">
        <v>44.9</v>
      </c>
      <c r="C116">
        <v>44.8</v>
      </c>
      <c r="D116" t="str">
        <f t="shared" si="2"/>
        <v>2009/07/01 16:00:00</v>
      </c>
      <c r="F116" t="str">
        <v>2009/07/01 16:00:00</v>
      </c>
      <c r="G116">
        <f t="shared" si="3"/>
        <v>39995</v>
      </c>
    </row>
    <row r="117" spans="1:7">
      <c r="A117" s="1">
        <v>40028</v>
      </c>
      <c r="B117">
        <v>46.5</v>
      </c>
      <c r="C117">
        <v>48.9</v>
      </c>
      <c r="D117" t="str">
        <f t="shared" si="2"/>
        <v>2009/08/03 16:00:00</v>
      </c>
      <c r="F117" t="str">
        <v>2009/08/03 16:00:00</v>
      </c>
      <c r="G117">
        <f t="shared" si="3"/>
        <v>40028</v>
      </c>
    </row>
    <row r="118" spans="1:7">
      <c r="A118" s="1">
        <v>40057</v>
      </c>
      <c r="B118">
        <v>50.5</v>
      </c>
      <c r="C118">
        <v>52.9</v>
      </c>
      <c r="D118" t="str">
        <f t="shared" si="2"/>
        <v>2009/09/01 16:00:00</v>
      </c>
      <c r="F118" t="str">
        <v>2009/09/01 16:00:00</v>
      </c>
      <c r="G118">
        <f t="shared" si="3"/>
        <v>40057</v>
      </c>
    </row>
    <row r="119" spans="1:7">
      <c r="A119" s="1">
        <v>40087</v>
      </c>
      <c r="B119">
        <v>54</v>
      </c>
      <c r="C119">
        <v>52.6</v>
      </c>
      <c r="D119" t="str">
        <f t="shared" si="2"/>
        <v>2009/10/01 16:00:00</v>
      </c>
      <c r="F119" t="str">
        <v>2009/10/01 16:00:00</v>
      </c>
      <c r="G119">
        <f t="shared" si="3"/>
        <v>40087</v>
      </c>
    </row>
    <row r="120" spans="1:7">
      <c r="A120" s="1">
        <v>40119</v>
      </c>
      <c r="B120">
        <v>53</v>
      </c>
      <c r="C120">
        <v>55.7</v>
      </c>
      <c r="D120" t="str">
        <f t="shared" si="2"/>
        <v>2009/11/02 16:00:00</v>
      </c>
      <c r="F120" t="str">
        <v>2009/11/02 16:00:00</v>
      </c>
      <c r="G120">
        <f t="shared" si="3"/>
        <v>40119</v>
      </c>
    </row>
    <row r="121" spans="1:7">
      <c r="A121" s="1">
        <v>40148</v>
      </c>
      <c r="B121">
        <v>55</v>
      </c>
      <c r="C121">
        <v>53.6</v>
      </c>
      <c r="D121" t="str">
        <f t="shared" si="2"/>
        <v>2009/12/01 16:00:00</v>
      </c>
      <c r="F121" t="str">
        <v>2009/12/01 16:00:00</v>
      </c>
      <c r="G121">
        <f t="shared" si="3"/>
        <v>40148</v>
      </c>
    </row>
    <row r="122" spans="1:7">
      <c r="A122" s="1">
        <v>40182</v>
      </c>
      <c r="B122">
        <v>54.3</v>
      </c>
      <c r="C122">
        <v>55.9</v>
      </c>
      <c r="D122" t="str">
        <f t="shared" si="2"/>
        <v>2010/01/04 16:00:00</v>
      </c>
      <c r="F122" t="str">
        <v>2010/01/04 16:00:00</v>
      </c>
      <c r="G122">
        <f t="shared" si="3"/>
        <v>40182</v>
      </c>
    </row>
    <row r="123" spans="1:7">
      <c r="A123" s="1">
        <v>40210</v>
      </c>
      <c r="B123">
        <v>55.5</v>
      </c>
      <c r="C123">
        <v>58.4</v>
      </c>
      <c r="D123" t="str">
        <f t="shared" si="2"/>
        <v>2010/02/01 16:00:00</v>
      </c>
      <c r="F123" t="str">
        <v>2010/02/01 16:00:00</v>
      </c>
      <c r="G123">
        <f t="shared" si="3"/>
        <v>40210</v>
      </c>
    </row>
    <row r="124" spans="1:7">
      <c r="A124" s="1">
        <v>40238</v>
      </c>
      <c r="B124">
        <v>57.9</v>
      </c>
      <c r="C124">
        <v>56.5</v>
      </c>
      <c r="D124" t="str">
        <f t="shared" si="2"/>
        <v>2010/03/01 16:00:00</v>
      </c>
      <c r="F124" t="str">
        <v>2010/03/01 16:00:00</v>
      </c>
      <c r="G124">
        <f t="shared" si="3"/>
        <v>40238</v>
      </c>
    </row>
    <row r="125" spans="1:7">
      <c r="A125" s="1">
        <v>40269</v>
      </c>
      <c r="B125">
        <v>57</v>
      </c>
      <c r="C125">
        <v>59.6</v>
      </c>
      <c r="D125" t="str">
        <f t="shared" si="2"/>
        <v>2010/04/01 16:00:00</v>
      </c>
      <c r="F125" t="str">
        <v>2010/04/01 16:00:00</v>
      </c>
      <c r="G125">
        <f t="shared" si="3"/>
        <v>40269</v>
      </c>
    </row>
    <row r="126" spans="1:7">
      <c r="A126" s="1">
        <v>40301</v>
      </c>
      <c r="B126">
        <v>60</v>
      </c>
      <c r="C126">
        <v>60.4</v>
      </c>
      <c r="D126" t="str">
        <f t="shared" si="2"/>
        <v>2010/05/03 16:00:00</v>
      </c>
      <c r="F126" t="str">
        <v>2010/05/03 16:00:00</v>
      </c>
      <c r="G126">
        <f t="shared" si="3"/>
        <v>40301</v>
      </c>
    </row>
    <row r="127" spans="1:7">
      <c r="A127" s="1">
        <v>40330</v>
      </c>
      <c r="B127">
        <v>59</v>
      </c>
      <c r="C127">
        <v>59.7</v>
      </c>
      <c r="D127" t="str">
        <f t="shared" si="2"/>
        <v>2010/06/01 16:00:00</v>
      </c>
      <c r="F127" t="str">
        <v>2010/06/01 16:00:00</v>
      </c>
      <c r="G127">
        <f t="shared" si="3"/>
        <v>40330</v>
      </c>
    </row>
    <row r="128" spans="1:7">
      <c r="A128" s="1">
        <v>40360</v>
      </c>
      <c r="B128">
        <v>59</v>
      </c>
      <c r="C128">
        <v>56.2</v>
      </c>
      <c r="D128" t="str">
        <f t="shared" si="2"/>
        <v>2010/07/01 16:00:00</v>
      </c>
      <c r="F128" t="str">
        <v>2010/07/01 16:00:00</v>
      </c>
      <c r="G128">
        <f t="shared" si="3"/>
        <v>40360</v>
      </c>
    </row>
    <row r="129" spans="1:7">
      <c r="A129" s="1">
        <v>40392</v>
      </c>
      <c r="B129">
        <v>54.5</v>
      </c>
      <c r="C129">
        <v>55.5</v>
      </c>
      <c r="D129" t="str">
        <f t="shared" si="2"/>
        <v>2010/08/02 16:00:00</v>
      </c>
      <c r="F129" t="str">
        <v>2010/08/02 16:00:00</v>
      </c>
      <c r="G129">
        <f t="shared" si="3"/>
        <v>40392</v>
      </c>
    </row>
    <row r="130" spans="1:7">
      <c r="A130" s="1">
        <v>40422</v>
      </c>
      <c r="B130">
        <v>52.8</v>
      </c>
      <c r="C130">
        <v>56.3</v>
      </c>
      <c r="D130" t="str">
        <f t="shared" si="2"/>
        <v>2010/09/01 16:00:00</v>
      </c>
      <c r="F130" t="str">
        <v>2010/09/01 16:00:00</v>
      </c>
      <c r="G130">
        <f t="shared" si="3"/>
        <v>40422</v>
      </c>
    </row>
    <row r="131" spans="1:7">
      <c r="A131" s="1">
        <v>40452</v>
      </c>
      <c r="B131">
        <v>54.5</v>
      </c>
      <c r="C131">
        <v>54.4</v>
      </c>
      <c r="D131" t="str">
        <f t="shared" ref="D131:D194" si="4">_xlfn.XLOOKUP(A131,$G:$G,$F:$F,"")</f>
        <v>2010/10/01 16:00:00</v>
      </c>
      <c r="F131" t="str">
        <v>2010/10/01 16:00:00</v>
      </c>
      <c r="G131">
        <f t="shared" ref="G131:G194" si="5">INT(F131)</f>
        <v>40452</v>
      </c>
    </row>
    <row r="132" spans="1:7">
      <c r="A132" s="1">
        <v>40483</v>
      </c>
      <c r="B132">
        <v>54</v>
      </c>
      <c r="C132">
        <v>56.9</v>
      </c>
      <c r="D132" t="str">
        <f t="shared" si="4"/>
        <v>2010/11/01 15:00:00</v>
      </c>
      <c r="F132" t="str">
        <v>2010/11/01 15:00:00</v>
      </c>
      <c r="G132">
        <f t="shared" si="5"/>
        <v>40483</v>
      </c>
    </row>
    <row r="133" spans="1:7">
      <c r="A133" s="1">
        <v>40513</v>
      </c>
      <c r="B133">
        <v>56.5</v>
      </c>
      <c r="C133">
        <v>56.6</v>
      </c>
      <c r="D133" t="str">
        <f t="shared" si="4"/>
        <v>2010/12/01 16:00:00</v>
      </c>
      <c r="F133" t="str">
        <v>2010/12/01 16:00:00</v>
      </c>
      <c r="G133">
        <f t="shared" si="5"/>
        <v>40513</v>
      </c>
    </row>
    <row r="134" spans="1:7">
      <c r="A134" s="1">
        <v>40546</v>
      </c>
      <c r="B134">
        <v>57</v>
      </c>
      <c r="C134">
        <v>57</v>
      </c>
      <c r="D134" t="str">
        <f t="shared" si="4"/>
        <v>2011/01/03 16:00:00</v>
      </c>
      <c r="F134" t="str">
        <v>2011/01/03 16:00:00</v>
      </c>
      <c r="G134">
        <f t="shared" si="5"/>
        <v>40546</v>
      </c>
    </row>
    <row r="135" spans="1:7">
      <c r="A135" s="1">
        <v>40575</v>
      </c>
      <c r="B135">
        <v>58</v>
      </c>
      <c r="C135">
        <v>60.8</v>
      </c>
      <c r="D135" t="str">
        <f t="shared" si="4"/>
        <v>2011/02/01 16:00:00</v>
      </c>
      <c r="F135" t="str">
        <v>2011/02/01 16:00:00</v>
      </c>
      <c r="G135">
        <f t="shared" si="5"/>
        <v>40575</v>
      </c>
    </row>
    <row r="136" spans="1:7">
      <c r="A136" s="1">
        <v>40603</v>
      </c>
      <c r="B136">
        <v>61</v>
      </c>
      <c r="C136">
        <v>61.4</v>
      </c>
      <c r="D136" t="str">
        <f t="shared" si="4"/>
        <v>2011/03/01 16:00:00</v>
      </c>
      <c r="F136" t="str">
        <v>2011/03/01 16:00:00</v>
      </c>
      <c r="G136">
        <f t="shared" si="5"/>
        <v>40603</v>
      </c>
    </row>
    <row r="137" spans="1:7">
      <c r="A137" s="1">
        <v>40634</v>
      </c>
      <c r="B137">
        <v>61.1</v>
      </c>
      <c r="C137">
        <v>61.2</v>
      </c>
      <c r="D137" t="str">
        <f t="shared" si="4"/>
        <v>2011/04/01 16:00:00</v>
      </c>
      <c r="F137" t="str">
        <v>2011/04/01 16:00:00</v>
      </c>
      <c r="G137">
        <f t="shared" si="5"/>
        <v>40634</v>
      </c>
    </row>
    <row r="138" spans="1:7">
      <c r="A138" s="1">
        <v>40665</v>
      </c>
      <c r="B138">
        <v>59.5</v>
      </c>
      <c r="C138">
        <v>60.4</v>
      </c>
      <c r="D138" t="str">
        <f t="shared" si="4"/>
        <v>2011/05/02 16:00:00</v>
      </c>
      <c r="F138" t="str">
        <v>2011/05/02 16:00:00</v>
      </c>
      <c r="G138">
        <f t="shared" si="5"/>
        <v>40665</v>
      </c>
    </row>
    <row r="139" spans="1:7">
      <c r="A139" s="1">
        <v>40695</v>
      </c>
      <c r="B139">
        <v>57.1</v>
      </c>
      <c r="C139">
        <v>53.5</v>
      </c>
      <c r="D139" t="str">
        <f t="shared" si="4"/>
        <v>2011/06/01 16:00:00</v>
      </c>
      <c r="F139" t="str">
        <v>2011/06/01 16:00:00</v>
      </c>
      <c r="G139">
        <f t="shared" si="5"/>
        <v>40695</v>
      </c>
    </row>
    <row r="140" spans="1:7">
      <c r="A140" s="1">
        <v>40725</v>
      </c>
      <c r="B140">
        <v>52</v>
      </c>
      <c r="C140">
        <v>55.3</v>
      </c>
      <c r="D140" t="str">
        <f t="shared" si="4"/>
        <v>2011/07/01 16:00:00</v>
      </c>
      <c r="F140" t="str">
        <v>2011/07/01 16:00:00</v>
      </c>
      <c r="G140">
        <f t="shared" si="5"/>
        <v>40725</v>
      </c>
    </row>
    <row r="141" spans="1:7">
      <c r="A141" s="1">
        <v>40756</v>
      </c>
      <c r="B141">
        <v>54.5</v>
      </c>
      <c r="C141">
        <v>50.9</v>
      </c>
      <c r="D141" t="str">
        <f t="shared" si="4"/>
        <v>2011/08/01 16:00:00</v>
      </c>
      <c r="F141" t="str">
        <v>2011/08/01 16:00:00</v>
      </c>
      <c r="G141">
        <f t="shared" si="5"/>
        <v>40756</v>
      </c>
    </row>
    <row r="142" spans="1:7">
      <c r="A142" s="1">
        <v>40787</v>
      </c>
      <c r="B142">
        <v>48.5</v>
      </c>
      <c r="C142">
        <v>50.6</v>
      </c>
      <c r="D142" t="str">
        <f t="shared" si="4"/>
        <v>2011/09/01 16:00:00</v>
      </c>
      <c r="F142" t="str">
        <v>2011/09/01 16:00:00</v>
      </c>
      <c r="G142">
        <f t="shared" si="5"/>
        <v>40787</v>
      </c>
    </row>
    <row r="143" spans="1:7">
      <c r="A143" s="1">
        <v>40819</v>
      </c>
      <c r="B143">
        <v>50.5</v>
      </c>
      <c r="C143">
        <v>51.6</v>
      </c>
      <c r="D143" t="str">
        <f t="shared" si="4"/>
        <v>2011/10/03 16:00:00</v>
      </c>
      <c r="F143" t="str">
        <v>2011/10/03 16:00:00</v>
      </c>
      <c r="G143">
        <f t="shared" si="5"/>
        <v>40819</v>
      </c>
    </row>
    <row r="144" spans="1:7">
      <c r="A144" s="1">
        <v>40848</v>
      </c>
      <c r="B144">
        <v>52</v>
      </c>
      <c r="C144">
        <v>50.8</v>
      </c>
      <c r="D144" t="str">
        <f t="shared" si="4"/>
        <v>2011/11/01 15:00:00</v>
      </c>
      <c r="F144" t="str">
        <v>2011/11/01 15:00:00</v>
      </c>
      <c r="G144">
        <f t="shared" si="5"/>
        <v>40848</v>
      </c>
    </row>
    <row r="145" spans="1:7">
      <c r="A145" s="1">
        <v>40878</v>
      </c>
      <c r="B145">
        <v>51.8</v>
      </c>
      <c r="C145">
        <v>52.7</v>
      </c>
      <c r="D145" t="str">
        <f t="shared" si="4"/>
        <v>2011/12/01 16:00:00</v>
      </c>
      <c r="F145" t="str">
        <v>2011/12/01 16:00:00</v>
      </c>
      <c r="G145">
        <f t="shared" si="5"/>
        <v>40878</v>
      </c>
    </row>
    <row r="146" spans="1:7">
      <c r="A146" s="1">
        <v>40911</v>
      </c>
      <c r="B146">
        <v>53.5</v>
      </c>
      <c r="C146">
        <v>53.9</v>
      </c>
      <c r="D146" t="str">
        <f t="shared" si="4"/>
        <v>2012/01/03 16:00:00</v>
      </c>
      <c r="F146" t="str">
        <v>2012/01/03 16:00:00</v>
      </c>
      <c r="G146">
        <f t="shared" si="5"/>
        <v>40911</v>
      </c>
    </row>
    <row r="147" spans="1:7">
      <c r="A147" s="1">
        <v>40940</v>
      </c>
      <c r="B147">
        <v>54.5</v>
      </c>
      <c r="C147">
        <v>54.1</v>
      </c>
      <c r="D147" t="str">
        <f t="shared" si="4"/>
        <v>2012/02/01 16:00:00</v>
      </c>
      <c r="F147" t="str">
        <v>2012/02/01 16:00:00</v>
      </c>
      <c r="G147">
        <f t="shared" si="5"/>
        <v>40940</v>
      </c>
    </row>
    <row r="148" spans="1:7">
      <c r="A148" s="1">
        <v>40969</v>
      </c>
      <c r="B148">
        <v>54.5</v>
      </c>
      <c r="C148">
        <v>52.4</v>
      </c>
      <c r="D148" t="str">
        <f t="shared" si="4"/>
        <v>2012/03/01 16:00:00</v>
      </c>
      <c r="F148" t="str">
        <v>2012/03/01 16:00:00</v>
      </c>
      <c r="G148">
        <f t="shared" si="5"/>
        <v>40969</v>
      </c>
    </row>
    <row r="149" spans="1:7">
      <c r="A149" s="1">
        <v>41001</v>
      </c>
      <c r="B149">
        <v>53</v>
      </c>
      <c r="C149">
        <v>53.4</v>
      </c>
      <c r="D149" t="str">
        <f t="shared" si="4"/>
        <v>2012/04/02 16:00:00</v>
      </c>
      <c r="F149" t="str">
        <v>2012/04/02 16:00:00</v>
      </c>
      <c r="G149">
        <f t="shared" si="5"/>
        <v>41001</v>
      </c>
    </row>
    <row r="150" spans="1:7">
      <c r="A150" s="1">
        <v>41030</v>
      </c>
      <c r="B150">
        <v>53</v>
      </c>
      <c r="C150">
        <v>54.8</v>
      </c>
      <c r="D150" t="str">
        <f t="shared" si="4"/>
        <v>2012/05/01 16:00:00</v>
      </c>
      <c r="F150" t="str">
        <v>2012/05/01 16:00:00</v>
      </c>
      <c r="G150">
        <f t="shared" si="5"/>
        <v>41030</v>
      </c>
    </row>
    <row r="151" spans="1:7">
      <c r="A151" s="1">
        <v>41061</v>
      </c>
      <c r="B151">
        <v>53.8</v>
      </c>
      <c r="C151">
        <v>53.5</v>
      </c>
      <c r="D151" t="str">
        <f t="shared" si="4"/>
        <v>2012/06/01 16:00:00</v>
      </c>
      <c r="F151" t="str">
        <v>2012/06/01 16:00:00</v>
      </c>
      <c r="G151">
        <f t="shared" si="5"/>
        <v>41061</v>
      </c>
    </row>
    <row r="152" spans="1:7">
      <c r="A152" s="1">
        <v>41092</v>
      </c>
      <c r="B152">
        <v>52</v>
      </c>
      <c r="C152">
        <v>49.7</v>
      </c>
      <c r="D152" t="str">
        <f t="shared" si="4"/>
        <v>2012/07/02 16:00:00</v>
      </c>
      <c r="F152" t="str">
        <v>2012/07/02 16:00:00</v>
      </c>
      <c r="G152">
        <f t="shared" si="5"/>
        <v>41092</v>
      </c>
    </row>
    <row r="153" spans="1:7">
      <c r="A153" s="1">
        <v>41122</v>
      </c>
      <c r="B153">
        <v>50.2</v>
      </c>
      <c r="C153">
        <v>49.8</v>
      </c>
      <c r="D153" t="str">
        <f t="shared" si="4"/>
        <v>2012/08/01 16:00:00</v>
      </c>
      <c r="F153" t="str">
        <v>2012/08/01 16:00:00</v>
      </c>
      <c r="G153">
        <f t="shared" si="5"/>
        <v>41122</v>
      </c>
    </row>
    <row r="154" spans="1:7">
      <c r="A154" s="1">
        <v>41156</v>
      </c>
      <c r="B154">
        <v>50</v>
      </c>
      <c r="C154">
        <v>49.6</v>
      </c>
      <c r="D154" t="str">
        <f t="shared" si="4"/>
        <v>2012/09/04 16:00:00</v>
      </c>
      <c r="F154" t="str">
        <v>2012/09/04 16:00:00</v>
      </c>
      <c r="G154">
        <f t="shared" si="5"/>
        <v>41156</v>
      </c>
    </row>
    <row r="155" spans="1:7">
      <c r="A155" s="1">
        <v>41183</v>
      </c>
      <c r="B155">
        <v>49.7</v>
      </c>
      <c r="C155">
        <v>51.5</v>
      </c>
      <c r="D155" t="str">
        <f t="shared" si="4"/>
        <v>2012/10/01 16:00:00</v>
      </c>
      <c r="F155" t="str">
        <v>2012/10/01 16:00:00</v>
      </c>
      <c r="G155">
        <f t="shared" si="5"/>
        <v>41183</v>
      </c>
    </row>
    <row r="156" spans="1:7">
      <c r="A156" s="1">
        <v>41214</v>
      </c>
      <c r="B156">
        <v>51</v>
      </c>
      <c r="C156">
        <v>51.7</v>
      </c>
      <c r="D156" t="str">
        <f t="shared" si="4"/>
        <v>2012/11/01 15:00:00</v>
      </c>
      <c r="F156" t="str">
        <v>2012/11/01 15:00:00</v>
      </c>
      <c r="G156">
        <f t="shared" si="5"/>
        <v>41214</v>
      </c>
    </row>
    <row r="157" spans="1:7">
      <c r="A157" s="1">
        <v>41246</v>
      </c>
      <c r="B157">
        <v>51.4</v>
      </c>
      <c r="C157">
        <v>49.5</v>
      </c>
      <c r="D157" t="str">
        <f t="shared" si="4"/>
        <v>2012/12/03 16:00:00</v>
      </c>
      <c r="F157" t="str">
        <v>2012/12/03 16:00:00</v>
      </c>
      <c r="G157">
        <f t="shared" si="5"/>
        <v>41246</v>
      </c>
    </row>
    <row r="158" spans="1:7">
      <c r="A158" s="1">
        <v>41276</v>
      </c>
      <c r="B158">
        <v>50.5</v>
      </c>
      <c r="C158">
        <v>50.7</v>
      </c>
      <c r="D158" t="str">
        <f t="shared" si="4"/>
        <v>2013/01/02 16:00:00</v>
      </c>
      <c r="F158" t="str">
        <v>2013/01/02 16:00:00</v>
      </c>
      <c r="G158">
        <f t="shared" si="5"/>
        <v>41276</v>
      </c>
    </row>
    <row r="159" spans="1:7">
      <c r="A159" s="1">
        <v>41306</v>
      </c>
      <c r="B159">
        <v>50.7</v>
      </c>
      <c r="C159">
        <v>53.1</v>
      </c>
      <c r="D159" t="str">
        <f t="shared" si="4"/>
        <v>2013/02/01 16:00:00</v>
      </c>
      <c r="F159" t="str">
        <v>2013/02/01 16:00:00</v>
      </c>
      <c r="G159">
        <f t="shared" si="5"/>
        <v>41306</v>
      </c>
    </row>
    <row r="160" spans="1:7">
      <c r="A160" s="1">
        <v>41334</v>
      </c>
      <c r="B160">
        <v>52.5</v>
      </c>
      <c r="C160">
        <v>54.2</v>
      </c>
      <c r="D160" t="str">
        <f t="shared" si="4"/>
        <v>2013/03/01 16:00:00</v>
      </c>
      <c r="F160" t="str">
        <v>2013/03/01 16:00:00</v>
      </c>
      <c r="G160">
        <f t="shared" si="5"/>
        <v>41334</v>
      </c>
    </row>
    <row r="161" spans="1:7">
      <c r="A161" s="1">
        <v>41365</v>
      </c>
      <c r="B161">
        <v>54</v>
      </c>
      <c r="C161">
        <v>51.3</v>
      </c>
      <c r="D161" t="str">
        <f t="shared" si="4"/>
        <v>2013/04/01 16:00:00</v>
      </c>
      <c r="F161" t="str">
        <v>2013/04/01 16:00:00</v>
      </c>
      <c r="G161">
        <f t="shared" si="5"/>
        <v>41365</v>
      </c>
    </row>
    <row r="162" spans="1:7">
      <c r="A162" s="1">
        <v>41395</v>
      </c>
      <c r="B162">
        <v>50.5</v>
      </c>
      <c r="C162">
        <v>50.7</v>
      </c>
      <c r="D162" t="str">
        <f t="shared" si="4"/>
        <v>2013/05/01 16:00:00</v>
      </c>
      <c r="F162" t="str">
        <v>2013/05/01 16:00:00</v>
      </c>
      <c r="G162">
        <f t="shared" si="5"/>
        <v>41395</v>
      </c>
    </row>
    <row r="163" spans="1:7">
      <c r="A163" s="1">
        <v>41428</v>
      </c>
      <c r="B163">
        <v>51</v>
      </c>
      <c r="C163">
        <v>49</v>
      </c>
      <c r="D163" t="str">
        <f t="shared" si="4"/>
        <v>2013/06/03 16:00:00</v>
      </c>
      <c r="F163" t="str">
        <v>2013/06/03 16:00:00</v>
      </c>
      <c r="G163">
        <f t="shared" si="5"/>
        <v>41428</v>
      </c>
    </row>
    <row r="164" spans="1:7">
      <c r="A164" s="1">
        <v>41456</v>
      </c>
      <c r="B164">
        <v>50.5</v>
      </c>
      <c r="C164">
        <v>50.9</v>
      </c>
      <c r="D164" t="str">
        <f t="shared" si="4"/>
        <v>2013/07/01 16:00:00</v>
      </c>
      <c r="F164" t="str">
        <v>2013/07/01 16:00:00</v>
      </c>
      <c r="G164">
        <f t="shared" si="5"/>
        <v>41456</v>
      </c>
    </row>
    <row r="165" spans="1:7">
      <c r="A165" s="1">
        <v>41487</v>
      </c>
      <c r="B165">
        <v>52</v>
      </c>
      <c r="C165">
        <v>55.4</v>
      </c>
      <c r="D165" t="str">
        <f t="shared" si="4"/>
        <v>2013/08/01 16:00:00</v>
      </c>
      <c r="F165" t="str">
        <v>2013/08/01 16:00:00</v>
      </c>
      <c r="G165">
        <f t="shared" si="5"/>
        <v>41487</v>
      </c>
    </row>
    <row r="166" spans="1:7">
      <c r="A166" s="1">
        <v>41520</v>
      </c>
      <c r="B166">
        <v>54</v>
      </c>
      <c r="C166">
        <v>55.7</v>
      </c>
      <c r="D166" t="str">
        <f t="shared" si="4"/>
        <v>2013/09/03 16:00:00</v>
      </c>
      <c r="F166" t="str">
        <v>2013/09/03 16:00:00</v>
      </c>
      <c r="G166">
        <f t="shared" si="5"/>
        <v>41520</v>
      </c>
    </row>
    <row r="167" spans="1:7">
      <c r="A167" s="1">
        <v>41548</v>
      </c>
      <c r="B167">
        <v>55</v>
      </c>
      <c r="C167">
        <v>56.2</v>
      </c>
      <c r="D167" t="str">
        <f t="shared" si="4"/>
        <v>2013/10/01 16:00:00</v>
      </c>
      <c r="F167" t="str">
        <v>2013/10/01 16:00:00</v>
      </c>
      <c r="G167">
        <f t="shared" si="5"/>
        <v>41548</v>
      </c>
    </row>
    <row r="168" spans="1:7">
      <c r="A168" s="1">
        <v>41579</v>
      </c>
      <c r="B168">
        <v>55</v>
      </c>
      <c r="C168">
        <v>56.4</v>
      </c>
      <c r="D168" t="str">
        <f t="shared" si="4"/>
        <v>2013/11/01 15:00:00</v>
      </c>
      <c r="F168" t="str">
        <v>2013/11/01 15:00:00</v>
      </c>
      <c r="G168">
        <f t="shared" si="5"/>
        <v>41579</v>
      </c>
    </row>
    <row r="169" spans="1:7">
      <c r="A169" s="1">
        <v>41610</v>
      </c>
      <c r="B169">
        <v>55.1</v>
      </c>
      <c r="C169">
        <v>57.3</v>
      </c>
      <c r="D169" t="str">
        <f t="shared" si="4"/>
        <v>2013/12/02 16:00:00</v>
      </c>
      <c r="F169" t="str">
        <v>2013/12/02 16:00:00</v>
      </c>
      <c r="G169">
        <f t="shared" si="5"/>
        <v>41610</v>
      </c>
    </row>
    <row r="170" spans="1:7">
      <c r="A170" s="1">
        <v>41641</v>
      </c>
      <c r="B170">
        <v>56.8</v>
      </c>
      <c r="C170">
        <v>57</v>
      </c>
      <c r="D170" t="str">
        <f t="shared" si="4"/>
        <v>2014/01/02 16:00:00</v>
      </c>
      <c r="F170" t="str">
        <v>2014/01/02 16:00:00</v>
      </c>
      <c r="G170">
        <f t="shared" si="5"/>
        <v>41641</v>
      </c>
    </row>
    <row r="171" spans="1:7">
      <c r="A171" s="1">
        <v>41673</v>
      </c>
      <c r="B171">
        <v>56</v>
      </c>
      <c r="C171">
        <v>51.3</v>
      </c>
      <c r="D171" t="str">
        <f t="shared" si="4"/>
        <v>2014/02/03 16:00:00</v>
      </c>
      <c r="F171" t="str">
        <v>2014/02/03 16:00:00</v>
      </c>
      <c r="G171">
        <f t="shared" si="5"/>
        <v>41673</v>
      </c>
    </row>
    <row r="172" spans="1:7">
      <c r="A172" s="1">
        <v>41701</v>
      </c>
      <c r="B172">
        <v>52.3</v>
      </c>
      <c r="C172">
        <v>53.2</v>
      </c>
      <c r="D172" t="str">
        <f t="shared" si="4"/>
        <v>2014/03/03 16:00:00</v>
      </c>
      <c r="F172" t="str">
        <v>2014/03/03 16:00:00</v>
      </c>
      <c r="G172">
        <f t="shared" si="5"/>
        <v>41701</v>
      </c>
    </row>
    <row r="173" spans="1:7">
      <c r="A173" s="1">
        <v>41730</v>
      </c>
      <c r="B173">
        <v>54</v>
      </c>
      <c r="C173">
        <v>53.7</v>
      </c>
      <c r="D173" t="str">
        <f t="shared" si="4"/>
        <v>2014/04/01 16:00:00</v>
      </c>
      <c r="F173" t="str">
        <v>2014/04/01 16:00:00</v>
      </c>
      <c r="G173">
        <f t="shared" si="5"/>
        <v>41730</v>
      </c>
    </row>
    <row r="174" spans="1:7">
      <c r="A174" s="1">
        <v>41760</v>
      </c>
      <c r="B174">
        <v>54.3</v>
      </c>
      <c r="C174">
        <v>54.9</v>
      </c>
      <c r="D174" t="str">
        <f t="shared" si="4"/>
        <v>2014/05/01 16:00:00</v>
      </c>
      <c r="F174" t="str">
        <v>2014/05/01 16:00:00</v>
      </c>
      <c r="G174">
        <f t="shared" si="5"/>
        <v>41760</v>
      </c>
    </row>
    <row r="175" spans="1:7">
      <c r="A175" s="1">
        <v>41792</v>
      </c>
      <c r="B175">
        <v>55.5</v>
      </c>
      <c r="C175">
        <v>55.4</v>
      </c>
      <c r="D175" t="str">
        <f t="shared" si="4"/>
        <v>2014/06/02 16:00:00</v>
      </c>
      <c r="F175" t="str">
        <v>2014/06/02 16:00:00</v>
      </c>
      <c r="G175">
        <f t="shared" si="5"/>
        <v>41792</v>
      </c>
    </row>
    <row r="176" spans="1:7">
      <c r="A176" s="1">
        <v>41821</v>
      </c>
      <c r="B176">
        <v>55.9</v>
      </c>
      <c r="C176">
        <v>55.3</v>
      </c>
      <c r="D176" t="str">
        <f t="shared" si="4"/>
        <v>2014/07/01 16:00:00</v>
      </c>
      <c r="F176" t="str">
        <v>2014/07/01 16:00:00</v>
      </c>
      <c r="G176">
        <f t="shared" si="5"/>
        <v>41821</v>
      </c>
    </row>
    <row r="177" spans="1:7">
      <c r="A177" s="1">
        <v>41852</v>
      </c>
      <c r="B177">
        <v>56</v>
      </c>
      <c r="C177">
        <v>57.1</v>
      </c>
      <c r="D177" t="str">
        <f t="shared" si="4"/>
        <v>2014/08/01 16:00:00</v>
      </c>
      <c r="F177" t="str">
        <v>2014/08/01 16:00:00</v>
      </c>
      <c r="G177">
        <f t="shared" si="5"/>
        <v>41852</v>
      </c>
    </row>
    <row r="178" spans="1:7">
      <c r="A178" s="1">
        <v>41884</v>
      </c>
      <c r="B178">
        <v>57</v>
      </c>
      <c r="C178">
        <v>59</v>
      </c>
      <c r="D178" t="str">
        <f t="shared" si="4"/>
        <v>2014/09/02 16:00:00</v>
      </c>
      <c r="F178" t="str">
        <v>2014/09/02 16:00:00</v>
      </c>
      <c r="G178">
        <f t="shared" si="5"/>
        <v>41884</v>
      </c>
    </row>
    <row r="179" spans="1:7">
      <c r="A179" s="1">
        <v>41913</v>
      </c>
      <c r="B179">
        <v>58.5</v>
      </c>
      <c r="C179">
        <v>56.6</v>
      </c>
      <c r="D179" t="str">
        <f t="shared" si="4"/>
        <v>2014/10/01 16:00:00</v>
      </c>
      <c r="F179" t="str">
        <v>2014/10/01 16:00:00</v>
      </c>
      <c r="G179">
        <f t="shared" si="5"/>
        <v>41913</v>
      </c>
    </row>
    <row r="180" spans="1:7">
      <c r="A180" s="1">
        <v>41946</v>
      </c>
      <c r="B180">
        <v>56.1</v>
      </c>
      <c r="C180">
        <v>59</v>
      </c>
      <c r="D180" t="str">
        <f t="shared" si="4"/>
        <v>2014/11/03 16:00:00</v>
      </c>
      <c r="F180" t="str">
        <v>2014/11/03 16:00:00</v>
      </c>
      <c r="G180">
        <f t="shared" si="5"/>
        <v>41946</v>
      </c>
    </row>
    <row r="181" spans="1:7">
      <c r="A181" s="1">
        <v>41974</v>
      </c>
      <c r="B181">
        <v>58</v>
      </c>
      <c r="C181">
        <v>58.7</v>
      </c>
      <c r="D181" t="str">
        <f t="shared" si="4"/>
        <v>2014/12/01 16:00:00</v>
      </c>
      <c r="F181" t="str">
        <v>2014/12/01 16:00:00</v>
      </c>
      <c r="G181">
        <f t="shared" si="5"/>
        <v>41974</v>
      </c>
    </row>
    <row r="182" spans="1:7">
      <c r="A182" s="1">
        <v>42006</v>
      </c>
      <c r="B182">
        <v>57.5</v>
      </c>
      <c r="C182">
        <v>55.5</v>
      </c>
      <c r="D182" t="str">
        <f t="shared" si="4"/>
        <v>2015/01/02 16:00:00</v>
      </c>
      <c r="F182" t="str">
        <v>2015/01/02 16:00:00</v>
      </c>
      <c r="G182">
        <f t="shared" si="5"/>
        <v>42006</v>
      </c>
    </row>
    <row r="183" spans="1:7">
      <c r="A183" s="1">
        <v>42037</v>
      </c>
      <c r="B183">
        <v>54.5</v>
      </c>
      <c r="C183">
        <v>53.5</v>
      </c>
      <c r="D183" t="str">
        <f t="shared" si="4"/>
        <v>2015/02/02 16:00:00</v>
      </c>
      <c r="F183" t="str">
        <v>2015/02/02 16:00:00</v>
      </c>
      <c r="G183">
        <f t="shared" si="5"/>
        <v>42037</v>
      </c>
    </row>
    <row r="184" spans="1:7">
      <c r="A184" s="1">
        <v>42065</v>
      </c>
      <c r="B184">
        <v>53</v>
      </c>
      <c r="C184">
        <v>52.9</v>
      </c>
      <c r="D184" t="str">
        <f t="shared" si="4"/>
        <v>2015/03/02 16:00:00</v>
      </c>
      <c r="F184" t="str">
        <v>2015/03/02 16:00:00</v>
      </c>
      <c r="G184">
        <f t="shared" si="5"/>
        <v>42065</v>
      </c>
    </row>
    <row r="185" spans="1:7">
      <c r="A185" s="1">
        <v>42095</v>
      </c>
      <c r="B185">
        <v>52.5</v>
      </c>
      <c r="C185">
        <v>51.5</v>
      </c>
      <c r="D185" t="str">
        <f t="shared" si="4"/>
        <v>2015/04/01 16:00:00</v>
      </c>
      <c r="F185" t="str">
        <v>2015/04/01 16:00:00</v>
      </c>
      <c r="G185">
        <f t="shared" si="5"/>
        <v>42095</v>
      </c>
    </row>
    <row r="186" spans="1:7">
      <c r="A186" s="1">
        <v>42125</v>
      </c>
      <c r="B186">
        <v>52</v>
      </c>
      <c r="C186">
        <v>51.5</v>
      </c>
      <c r="D186" t="str">
        <f t="shared" si="4"/>
        <v>2015/05/01 16:00:00</v>
      </c>
      <c r="F186" t="str">
        <v>2015/05/01 16:00:00</v>
      </c>
      <c r="G186">
        <f t="shared" si="5"/>
        <v>42125</v>
      </c>
    </row>
    <row r="187" spans="1:7">
      <c r="A187" s="1">
        <v>42156</v>
      </c>
      <c r="B187">
        <v>52</v>
      </c>
      <c r="C187">
        <v>52.8</v>
      </c>
      <c r="D187" t="str">
        <f t="shared" si="4"/>
        <v>2015/06/01 16:00:00</v>
      </c>
      <c r="F187" t="str">
        <v>2015/06/01 16:00:00</v>
      </c>
      <c r="G187">
        <f t="shared" si="5"/>
        <v>42156</v>
      </c>
    </row>
    <row r="188" spans="1:7">
      <c r="A188" s="1">
        <v>42186</v>
      </c>
      <c r="B188">
        <v>53.2</v>
      </c>
      <c r="C188">
        <v>53.5</v>
      </c>
      <c r="D188" t="str">
        <f t="shared" si="4"/>
        <v>2015/07/01 16:00:00</v>
      </c>
      <c r="F188" t="str">
        <v>2015/07/01 16:00:00</v>
      </c>
      <c r="G188">
        <f t="shared" si="5"/>
        <v>42186</v>
      </c>
    </row>
    <row r="189" spans="1:7">
      <c r="A189" s="1">
        <v>42219</v>
      </c>
      <c r="B189">
        <v>53.5</v>
      </c>
      <c r="C189">
        <v>52.7</v>
      </c>
      <c r="D189" t="str">
        <f t="shared" si="4"/>
        <v>2015/08/03 16:00:00</v>
      </c>
      <c r="F189" t="str">
        <v>2015/08/03 16:00:00</v>
      </c>
      <c r="G189">
        <f t="shared" si="5"/>
        <v>42219</v>
      </c>
    </row>
    <row r="190" spans="1:7">
      <c r="A190" s="1">
        <v>42248</v>
      </c>
      <c r="B190">
        <v>52.5</v>
      </c>
      <c r="C190">
        <v>51.1</v>
      </c>
      <c r="D190" t="str">
        <f t="shared" si="4"/>
        <v>2015/09/01 16:00:00</v>
      </c>
      <c r="F190" t="str">
        <v>2015/09/01 16:00:00</v>
      </c>
      <c r="G190">
        <f t="shared" si="5"/>
        <v>42248</v>
      </c>
    </row>
    <row r="191" spans="1:7">
      <c r="A191" s="1">
        <v>42278</v>
      </c>
      <c r="B191">
        <v>50.6</v>
      </c>
      <c r="C191">
        <v>50.2</v>
      </c>
      <c r="D191" t="str">
        <f t="shared" si="4"/>
        <v>2015/10/01 16:00:00</v>
      </c>
      <c r="F191" t="str">
        <v>2015/10/01 16:00:00</v>
      </c>
      <c r="G191">
        <f t="shared" si="5"/>
        <v>42278</v>
      </c>
    </row>
    <row r="192" spans="1:7">
      <c r="A192" s="1">
        <v>42310</v>
      </c>
      <c r="B192">
        <v>50</v>
      </c>
      <c r="C192">
        <v>50.1</v>
      </c>
      <c r="D192" t="str">
        <f t="shared" si="4"/>
        <v>2015/11/02 16:00:00</v>
      </c>
      <c r="F192" t="str">
        <v>2015/11/02 16:00:00</v>
      </c>
      <c r="G192">
        <f t="shared" si="5"/>
        <v>42310</v>
      </c>
    </row>
    <row r="193" spans="1:7">
      <c r="A193" s="1">
        <v>42339</v>
      </c>
      <c r="B193">
        <v>50.5</v>
      </c>
      <c r="C193">
        <v>48.6</v>
      </c>
      <c r="D193" t="str">
        <f t="shared" si="4"/>
        <v>2015/12/01 16:00:00</v>
      </c>
      <c r="F193" t="str">
        <v>2015/12/01 16:00:00</v>
      </c>
      <c r="G193">
        <f t="shared" si="5"/>
        <v>42339</v>
      </c>
    </row>
    <row r="194" spans="1:7">
      <c r="A194" s="1">
        <v>42373</v>
      </c>
      <c r="B194">
        <v>49</v>
      </c>
      <c r="C194">
        <v>48.2</v>
      </c>
      <c r="D194" t="str">
        <f t="shared" si="4"/>
        <v>2016/01/04 16:00:00</v>
      </c>
      <c r="F194" t="str">
        <v>2016/01/04 16:00:00</v>
      </c>
      <c r="G194">
        <f t="shared" si="5"/>
        <v>42373</v>
      </c>
    </row>
    <row r="195" spans="1:7">
      <c r="A195" s="1">
        <v>42401</v>
      </c>
      <c r="B195">
        <v>48.4</v>
      </c>
      <c r="C195">
        <v>48.2</v>
      </c>
      <c r="D195" t="str">
        <f t="shared" ref="D195:D258" si="6">_xlfn.XLOOKUP(A195,$G:$G,$F:$F,"")</f>
        <v>2016/02/01 16:00:00</v>
      </c>
      <c r="F195" t="str">
        <v>2016/02/01 16:00:00</v>
      </c>
      <c r="G195">
        <f t="shared" ref="G195:G258" si="7">INT(F195)</f>
        <v>42401</v>
      </c>
    </row>
    <row r="196" spans="1:7">
      <c r="A196" s="1">
        <v>42430</v>
      </c>
      <c r="B196">
        <v>48.5</v>
      </c>
      <c r="C196">
        <v>49.5</v>
      </c>
      <c r="D196" t="str">
        <f t="shared" si="6"/>
        <v>2016/03/01 16:00:00</v>
      </c>
      <c r="F196" t="str">
        <v>2016/03/01 16:00:00</v>
      </c>
      <c r="G196">
        <f t="shared" si="7"/>
        <v>42430</v>
      </c>
    </row>
    <row r="197" spans="1:7">
      <c r="A197" s="1">
        <v>42461</v>
      </c>
      <c r="B197">
        <v>51</v>
      </c>
      <c r="C197">
        <v>51.8</v>
      </c>
      <c r="D197" t="str">
        <f t="shared" si="6"/>
        <v>2016/04/01 16:00:00</v>
      </c>
      <c r="F197" t="str">
        <v>2016/04/01 16:00:00</v>
      </c>
      <c r="G197">
        <f t="shared" si="7"/>
        <v>42461</v>
      </c>
    </row>
    <row r="198" spans="1:7">
      <c r="A198" s="1">
        <v>42492</v>
      </c>
      <c r="B198">
        <v>51.4</v>
      </c>
      <c r="C198">
        <v>50.8</v>
      </c>
      <c r="D198" t="str">
        <f t="shared" si="6"/>
        <v>2016/05/02 16:00:00</v>
      </c>
      <c r="F198" t="str">
        <v>2016/05/02 16:00:00</v>
      </c>
      <c r="G198">
        <f t="shared" si="7"/>
        <v>42492</v>
      </c>
    </row>
    <row r="199" spans="1:7">
      <c r="A199" s="1">
        <v>42522</v>
      </c>
      <c r="B199">
        <v>50.3</v>
      </c>
      <c r="C199">
        <v>51.3</v>
      </c>
      <c r="D199" t="str">
        <f t="shared" si="6"/>
        <v>2016/06/01 16:00:00</v>
      </c>
      <c r="F199" t="str">
        <v>2016/06/01 16:00:00</v>
      </c>
      <c r="G199">
        <f t="shared" si="7"/>
        <v>42522</v>
      </c>
    </row>
    <row r="200" spans="1:7">
      <c r="A200" s="1">
        <v>42552</v>
      </c>
      <c r="B200">
        <v>51.3</v>
      </c>
      <c r="C200">
        <v>53.2</v>
      </c>
      <c r="D200" t="str">
        <f t="shared" si="6"/>
        <v>2016/07/01 16:00:00</v>
      </c>
      <c r="F200" t="str">
        <v>2016/07/01 16:00:00</v>
      </c>
      <c r="G200">
        <f t="shared" si="7"/>
        <v>42552</v>
      </c>
    </row>
    <row r="201" spans="1:7">
      <c r="A201" s="1">
        <v>42583</v>
      </c>
      <c r="B201">
        <v>53</v>
      </c>
      <c r="C201">
        <v>52.6</v>
      </c>
      <c r="D201" t="str">
        <f t="shared" si="6"/>
        <v>2016/08/01 16:00:00</v>
      </c>
      <c r="F201" t="str">
        <v>2016/08/01 16:00:00</v>
      </c>
      <c r="G201">
        <f t="shared" si="7"/>
        <v>42583</v>
      </c>
    </row>
    <row r="202" spans="1:7">
      <c r="A202" s="1">
        <v>42614</v>
      </c>
      <c r="B202">
        <v>52</v>
      </c>
      <c r="C202">
        <v>49.4</v>
      </c>
      <c r="D202" t="str">
        <f t="shared" si="6"/>
        <v>2016/09/01 16:00:00</v>
      </c>
      <c r="F202" t="str">
        <v>2016/09/01 16:00:00</v>
      </c>
      <c r="G202">
        <f t="shared" si="7"/>
        <v>42614</v>
      </c>
    </row>
    <row r="203" spans="1:7">
      <c r="A203" s="1">
        <v>42646</v>
      </c>
      <c r="B203">
        <v>50.4</v>
      </c>
      <c r="C203">
        <v>51.5</v>
      </c>
      <c r="D203" t="str">
        <f t="shared" si="6"/>
        <v>2016/10/03 16:00:00</v>
      </c>
      <c r="F203" t="str">
        <v>2016/10/03 16:00:00</v>
      </c>
      <c r="G203">
        <f t="shared" si="7"/>
        <v>42646</v>
      </c>
    </row>
    <row r="204" spans="1:7">
      <c r="A204" s="1">
        <v>42675</v>
      </c>
      <c r="B204">
        <v>51.7</v>
      </c>
      <c r="C204">
        <v>51.9</v>
      </c>
      <c r="D204" t="str">
        <f t="shared" si="6"/>
        <v>2016/11/01 15:00:00</v>
      </c>
      <c r="F204" t="str">
        <v>2016/11/01 15:00:00</v>
      </c>
      <c r="G204">
        <f t="shared" si="7"/>
        <v>42675</v>
      </c>
    </row>
    <row r="205" spans="1:7">
      <c r="A205" s="1">
        <v>42705</v>
      </c>
      <c r="B205">
        <v>52.5</v>
      </c>
      <c r="C205">
        <v>53.2</v>
      </c>
      <c r="D205" t="str">
        <f t="shared" si="6"/>
        <v>2016/12/01 16:00:00</v>
      </c>
      <c r="F205" t="str">
        <v>2016/12/01 16:00:00</v>
      </c>
      <c r="G205">
        <f t="shared" si="7"/>
        <v>42705</v>
      </c>
    </row>
    <row r="206" spans="1:7">
      <c r="A206" s="1">
        <v>42738</v>
      </c>
      <c r="B206">
        <v>53.8</v>
      </c>
      <c r="C206">
        <v>54.7</v>
      </c>
      <c r="D206" t="str">
        <f t="shared" si="6"/>
        <v>2017/01/03 16:00:00</v>
      </c>
      <c r="F206" t="str">
        <v>2017/01/03 16:00:00</v>
      </c>
      <c r="G206">
        <f t="shared" si="7"/>
        <v>42738</v>
      </c>
    </row>
    <row r="207" spans="1:7">
      <c r="A207" s="1">
        <v>42767</v>
      </c>
      <c r="B207">
        <v>55</v>
      </c>
      <c r="C207">
        <v>56</v>
      </c>
      <c r="D207" t="str">
        <f t="shared" si="6"/>
        <v>2017/02/01 16:00:00</v>
      </c>
      <c r="F207" t="str">
        <v>2017/02/01 16:00:00</v>
      </c>
      <c r="G207">
        <f t="shared" si="7"/>
        <v>42767</v>
      </c>
    </row>
    <row r="208" spans="1:7">
      <c r="A208" s="1">
        <v>42795</v>
      </c>
      <c r="B208">
        <v>56.2</v>
      </c>
      <c r="C208">
        <v>57.7</v>
      </c>
      <c r="D208" t="str">
        <f t="shared" si="6"/>
        <v>2017/03/01 16:00:00</v>
      </c>
      <c r="F208" t="str">
        <v>2017/03/01 16:00:00</v>
      </c>
      <c r="G208">
        <f t="shared" si="7"/>
        <v>42795</v>
      </c>
    </row>
    <row r="209" spans="1:7">
      <c r="A209" s="1">
        <v>42828</v>
      </c>
      <c r="B209">
        <v>57.2</v>
      </c>
      <c r="C209">
        <v>57.2</v>
      </c>
      <c r="D209" t="str">
        <f t="shared" si="6"/>
        <v>2017/04/03 16:00:00</v>
      </c>
      <c r="F209" t="str">
        <v>2017/04/03 16:00:00</v>
      </c>
      <c r="G209">
        <f t="shared" si="7"/>
        <v>42828</v>
      </c>
    </row>
    <row r="210" spans="1:7">
      <c r="A210" s="1">
        <v>42856</v>
      </c>
      <c r="B210">
        <v>56.5</v>
      </c>
      <c r="C210">
        <v>54.8</v>
      </c>
      <c r="D210" t="str">
        <f t="shared" si="6"/>
        <v>2017/05/01 16:00:00</v>
      </c>
      <c r="F210" t="str">
        <v>2017/05/01 16:00:00</v>
      </c>
      <c r="G210">
        <f t="shared" si="7"/>
        <v>42856</v>
      </c>
    </row>
    <row r="211" spans="1:7">
      <c r="A211" s="1">
        <v>42887</v>
      </c>
      <c r="B211">
        <v>54.8</v>
      </c>
      <c r="C211">
        <v>54.9</v>
      </c>
      <c r="D211" t="str">
        <f t="shared" si="6"/>
        <v>2017/06/01 16:00:00</v>
      </c>
      <c r="F211" t="str">
        <v>2017/06/01 16:00:00</v>
      </c>
      <c r="G211">
        <f t="shared" si="7"/>
        <v>42887</v>
      </c>
    </row>
    <row r="212" spans="1:7">
      <c r="A212" s="1">
        <v>42919</v>
      </c>
      <c r="B212">
        <v>55.3</v>
      </c>
      <c r="C212">
        <v>57.8</v>
      </c>
      <c r="D212" t="str">
        <f t="shared" si="6"/>
        <v>2017/07/03 16:00:00</v>
      </c>
      <c r="F212" t="str">
        <v>2017/07/03 16:00:00</v>
      </c>
      <c r="G212">
        <f t="shared" si="7"/>
        <v>42919</v>
      </c>
    </row>
    <row r="213" spans="1:7">
      <c r="A213" s="1">
        <v>42948</v>
      </c>
      <c r="B213">
        <v>56.5</v>
      </c>
      <c r="C213">
        <v>56.3</v>
      </c>
      <c r="D213" t="str">
        <f t="shared" si="6"/>
        <v>2017/08/01 16:00:00</v>
      </c>
      <c r="F213" t="str">
        <v>2017/08/01 16:00:00</v>
      </c>
      <c r="G213">
        <f t="shared" si="7"/>
        <v>42948</v>
      </c>
    </row>
    <row r="214" spans="1:7">
      <c r="A214" s="1">
        <v>42979</v>
      </c>
      <c r="B214">
        <v>56.5</v>
      </c>
      <c r="C214">
        <v>58.8</v>
      </c>
      <c r="D214" t="str">
        <f t="shared" si="6"/>
        <v>2017/09/01 16:00:00</v>
      </c>
      <c r="F214" t="str">
        <v>2017/09/01 16:00:00</v>
      </c>
      <c r="G214">
        <f t="shared" si="7"/>
        <v>42979</v>
      </c>
    </row>
    <row r="215" spans="1:7">
      <c r="A215" s="1">
        <v>43010</v>
      </c>
      <c r="B215">
        <v>58.1</v>
      </c>
      <c r="C215">
        <v>60.8</v>
      </c>
      <c r="D215" t="str">
        <f t="shared" si="6"/>
        <v>2017/10/02 16:00:00</v>
      </c>
      <c r="F215" t="str">
        <v>2017/10/02 16:00:00</v>
      </c>
      <c r="G215">
        <f t="shared" si="7"/>
        <v>43010</v>
      </c>
    </row>
    <row r="216" spans="1:7">
      <c r="A216" s="1">
        <v>43040</v>
      </c>
      <c r="B216">
        <v>59.5</v>
      </c>
      <c r="C216">
        <v>58.7</v>
      </c>
      <c r="D216" t="str">
        <f t="shared" si="6"/>
        <v>2017/11/01 15:00:00</v>
      </c>
      <c r="F216" t="str">
        <v>2017/11/01 15:00:00</v>
      </c>
      <c r="G216">
        <f t="shared" si="7"/>
        <v>43040</v>
      </c>
    </row>
    <row r="217" spans="1:7">
      <c r="A217" s="1">
        <v>43070</v>
      </c>
      <c r="B217">
        <v>58.3</v>
      </c>
      <c r="C217">
        <v>58.2</v>
      </c>
      <c r="D217" t="str">
        <f t="shared" si="6"/>
        <v>2017/12/01 16:00:00</v>
      </c>
      <c r="F217" t="str">
        <v>2017/12/01 16:00:00</v>
      </c>
      <c r="G217">
        <f t="shared" si="7"/>
        <v>43070</v>
      </c>
    </row>
    <row r="218" spans="1:7">
      <c r="A218" s="1">
        <v>43103</v>
      </c>
      <c r="B218">
        <v>58.2</v>
      </c>
      <c r="C218">
        <v>59.7</v>
      </c>
      <c r="D218" t="str">
        <f t="shared" si="6"/>
        <v>2018/01/03 16:00:00</v>
      </c>
      <c r="F218" t="str">
        <v>2018/01/03 16:00:00</v>
      </c>
      <c r="G218">
        <f t="shared" si="7"/>
        <v>43103</v>
      </c>
    </row>
    <row r="219" spans="1:7">
      <c r="A219" s="1">
        <v>43132</v>
      </c>
      <c r="B219">
        <v>58.6</v>
      </c>
      <c r="C219">
        <v>59.1</v>
      </c>
      <c r="D219" t="str">
        <f t="shared" si="6"/>
        <v>2018/02/01 16:00:00</v>
      </c>
      <c r="F219" t="str">
        <v>2018/02/01 16:00:00</v>
      </c>
      <c r="G219">
        <f t="shared" si="7"/>
        <v>43132</v>
      </c>
    </row>
    <row r="220" spans="1:7">
      <c r="A220" s="1">
        <v>43160</v>
      </c>
      <c r="B220">
        <v>58.7</v>
      </c>
      <c r="C220">
        <v>60.8</v>
      </c>
      <c r="D220" t="str">
        <f t="shared" si="6"/>
        <v>2018/03/01 16:00:00</v>
      </c>
      <c r="F220" t="str">
        <v>2018/03/01 16:00:00</v>
      </c>
      <c r="G220">
        <f t="shared" si="7"/>
        <v>43160</v>
      </c>
    </row>
    <row r="221" spans="1:7">
      <c r="A221" s="1">
        <v>43192</v>
      </c>
      <c r="B221">
        <v>59.6</v>
      </c>
      <c r="C221">
        <v>59.3</v>
      </c>
      <c r="D221" t="str">
        <f t="shared" si="6"/>
        <v>2018/04/02 16:00:00</v>
      </c>
      <c r="F221" t="str">
        <v>2018/04/02 16:00:00</v>
      </c>
      <c r="G221">
        <f t="shared" si="7"/>
        <v>43192</v>
      </c>
    </row>
    <row r="222" spans="1:7">
      <c r="A222" s="1">
        <v>43221</v>
      </c>
      <c r="B222">
        <v>58.5</v>
      </c>
      <c r="C222">
        <v>57.3</v>
      </c>
      <c r="D222" t="str">
        <f t="shared" si="6"/>
        <v>2018/05/01 16:00:00</v>
      </c>
      <c r="F222" t="str">
        <v>2018/05/01 16:00:00</v>
      </c>
      <c r="G222">
        <f t="shared" si="7"/>
        <v>43221</v>
      </c>
    </row>
    <row r="223" spans="1:7">
      <c r="A223" s="1">
        <v>43252</v>
      </c>
      <c r="B223">
        <v>58.2</v>
      </c>
      <c r="C223">
        <v>58.7</v>
      </c>
      <c r="D223" t="str">
        <f t="shared" si="6"/>
        <v>2018/06/01 16:00:00</v>
      </c>
      <c r="F223" t="str">
        <v>2018/06/01 16:00:00</v>
      </c>
      <c r="G223">
        <f t="shared" si="7"/>
        <v>43252</v>
      </c>
    </row>
    <row r="224" spans="1:7">
      <c r="A224" s="1">
        <v>43283</v>
      </c>
      <c r="B224">
        <v>58.5</v>
      </c>
      <c r="C224">
        <v>60.2</v>
      </c>
      <c r="D224" t="str">
        <f t="shared" si="6"/>
        <v>2018/07/02 16:00:00</v>
      </c>
      <c r="F224" t="str">
        <v>2018/07/02 16:00:00</v>
      </c>
      <c r="G224">
        <f t="shared" si="7"/>
        <v>43283</v>
      </c>
    </row>
    <row r="225" spans="1:7">
      <c r="A225" s="1">
        <v>43313</v>
      </c>
      <c r="B225">
        <v>59.4</v>
      </c>
      <c r="C225">
        <v>58.1</v>
      </c>
      <c r="D225" t="str">
        <f t="shared" si="6"/>
        <v>2018/08/01 16:00:00</v>
      </c>
      <c r="F225" t="str">
        <v>2018/08/01 16:00:00</v>
      </c>
      <c r="G225">
        <f t="shared" si="7"/>
        <v>43313</v>
      </c>
    </row>
    <row r="226" spans="1:7">
      <c r="A226" s="1">
        <v>43347</v>
      </c>
      <c r="B226">
        <v>57.6</v>
      </c>
      <c r="C226">
        <v>61.3</v>
      </c>
      <c r="D226" t="str">
        <f t="shared" si="6"/>
        <v>2018/09/04 16:00:00</v>
      </c>
      <c r="F226" t="str">
        <v>2018/09/04 16:00:00</v>
      </c>
      <c r="G226">
        <f t="shared" si="7"/>
        <v>43347</v>
      </c>
    </row>
    <row r="227" spans="1:7">
      <c r="A227" s="1">
        <v>43374</v>
      </c>
      <c r="B227">
        <v>60</v>
      </c>
      <c r="C227">
        <v>59.8</v>
      </c>
      <c r="D227" t="str">
        <f t="shared" si="6"/>
        <v>2018/10/01 16:00:00</v>
      </c>
      <c r="F227" t="str">
        <v>2018/10/01 16:00:00</v>
      </c>
      <c r="G227">
        <f t="shared" si="7"/>
        <v>43374</v>
      </c>
    </row>
    <row r="228" spans="1:7">
      <c r="A228" s="1">
        <v>43405</v>
      </c>
      <c r="B228">
        <v>59</v>
      </c>
      <c r="C228">
        <v>57.7</v>
      </c>
      <c r="D228" t="str">
        <f t="shared" si="6"/>
        <v>2018/11/01 15:00:00</v>
      </c>
      <c r="F228" t="str">
        <v>2018/11/01 15:00:00</v>
      </c>
      <c r="G228">
        <f t="shared" si="7"/>
        <v>43405</v>
      </c>
    </row>
    <row r="229" spans="1:7">
      <c r="A229" s="1">
        <v>43437</v>
      </c>
      <c r="B229">
        <v>57.5</v>
      </c>
      <c r="C229">
        <v>59.3</v>
      </c>
      <c r="D229" t="str">
        <f t="shared" si="6"/>
        <v>2018/12/03 16:00:00</v>
      </c>
      <c r="F229" t="str">
        <v>2018/12/03 16:00:00</v>
      </c>
      <c r="G229">
        <f t="shared" si="7"/>
        <v>43437</v>
      </c>
    </row>
    <row r="230" spans="1:7">
      <c r="A230" s="1">
        <v>43468</v>
      </c>
      <c r="B230">
        <v>57.5</v>
      </c>
      <c r="C230">
        <v>54.1</v>
      </c>
      <c r="D230" t="str">
        <f t="shared" si="6"/>
        <v>2019/01/03 16:00:00</v>
      </c>
      <c r="F230" t="str">
        <v>2019/01/03 16:00:00</v>
      </c>
      <c r="G230">
        <f t="shared" si="7"/>
        <v>43468</v>
      </c>
    </row>
    <row r="231" spans="1:7">
      <c r="A231" s="1">
        <v>43497</v>
      </c>
      <c r="B231">
        <v>54</v>
      </c>
      <c r="C231">
        <v>56.6</v>
      </c>
      <c r="D231" t="str">
        <f t="shared" si="6"/>
        <v>2019/02/01 16:00:00</v>
      </c>
      <c r="F231" t="str">
        <v>2019/02/01 16:00:00</v>
      </c>
      <c r="G231">
        <f t="shared" si="7"/>
        <v>43497</v>
      </c>
    </row>
    <row r="232" spans="1:7">
      <c r="A232" s="1">
        <v>43525</v>
      </c>
      <c r="B232">
        <v>55.8</v>
      </c>
      <c r="C232">
        <v>54.2</v>
      </c>
      <c r="D232" t="str">
        <f t="shared" si="6"/>
        <v>2019/03/01 16:00:00</v>
      </c>
      <c r="F232" t="str">
        <v>2019/03/01 16:00:00</v>
      </c>
      <c r="G232">
        <f t="shared" si="7"/>
        <v>43525</v>
      </c>
    </row>
    <row r="233" spans="1:7">
      <c r="A233" s="1">
        <v>43556</v>
      </c>
      <c r="B233">
        <v>54.5</v>
      </c>
      <c r="C233">
        <v>55.3</v>
      </c>
      <c r="D233" t="str">
        <f t="shared" si="6"/>
        <v>2019/04/01 16:00:00</v>
      </c>
      <c r="F233" t="str">
        <v>2019/04/01 16:00:00</v>
      </c>
      <c r="G233">
        <f t="shared" si="7"/>
        <v>43556</v>
      </c>
    </row>
    <row r="234" spans="1:7">
      <c r="A234" s="1">
        <v>43586</v>
      </c>
      <c r="B234">
        <v>55</v>
      </c>
      <c r="C234">
        <v>52.8</v>
      </c>
      <c r="D234" t="str">
        <f t="shared" si="6"/>
        <v>2019/05/01 16:00:00</v>
      </c>
      <c r="F234" t="str">
        <v>2019/05/01 16:00:00</v>
      </c>
      <c r="G234">
        <f t="shared" si="7"/>
        <v>43586</v>
      </c>
    </row>
    <row r="235" spans="1:7">
      <c r="A235" s="1">
        <v>43619</v>
      </c>
      <c r="B235">
        <v>53</v>
      </c>
      <c r="C235">
        <v>52.1</v>
      </c>
      <c r="D235" t="str">
        <f t="shared" si="6"/>
        <v>2019/06/03 16:00:00</v>
      </c>
      <c r="F235" t="str">
        <v>2019/06/03 16:00:00</v>
      </c>
      <c r="G235">
        <f t="shared" si="7"/>
        <v>43619</v>
      </c>
    </row>
    <row r="236" spans="1:7">
      <c r="A236" s="1">
        <v>43647</v>
      </c>
      <c r="B236">
        <v>51</v>
      </c>
      <c r="C236">
        <v>51.7</v>
      </c>
      <c r="D236" t="str">
        <f t="shared" si="6"/>
        <v>2019/07/01 16:00:00</v>
      </c>
      <c r="F236" t="str">
        <v>2019/07/01 16:00:00</v>
      </c>
      <c r="G236">
        <f t="shared" si="7"/>
        <v>43647</v>
      </c>
    </row>
    <row r="237" spans="1:7">
      <c r="A237" s="1">
        <v>43678</v>
      </c>
      <c r="B237">
        <v>52</v>
      </c>
      <c r="C237">
        <v>51.2</v>
      </c>
      <c r="D237" t="str">
        <f t="shared" si="6"/>
        <v>2019/08/01 16:00:00</v>
      </c>
      <c r="F237" t="str">
        <v>2019/08/01 16:00:00</v>
      </c>
      <c r="G237">
        <f t="shared" si="7"/>
        <v>43678</v>
      </c>
    </row>
    <row r="238" spans="1:7">
      <c r="A238" s="1">
        <v>43711</v>
      </c>
      <c r="B238">
        <v>51.3</v>
      </c>
      <c r="C238">
        <v>49.1</v>
      </c>
      <c r="D238" t="str">
        <f t="shared" si="6"/>
        <v>2019/09/03 16:00:00</v>
      </c>
      <c r="F238" t="str">
        <v>2019/09/03 16:00:00</v>
      </c>
      <c r="G238">
        <f t="shared" si="7"/>
        <v>43711</v>
      </c>
    </row>
    <row r="239" spans="1:7">
      <c r="A239" s="1">
        <v>43739</v>
      </c>
      <c r="B239">
        <v>50</v>
      </c>
      <c r="C239">
        <v>47.8</v>
      </c>
      <c r="D239" t="str">
        <f t="shared" si="6"/>
        <v>2019/10/01 16:00:00</v>
      </c>
      <c r="F239" t="str">
        <v>2019/10/01 16:00:00</v>
      </c>
      <c r="G239">
        <f t="shared" si="7"/>
        <v>43739</v>
      </c>
    </row>
    <row r="240" spans="1:7">
      <c r="A240" s="1">
        <v>43770</v>
      </c>
      <c r="B240">
        <v>48.9</v>
      </c>
      <c r="C240">
        <v>48.3</v>
      </c>
      <c r="D240" t="str">
        <f t="shared" si="6"/>
        <v>2019/11/01 15:00:00</v>
      </c>
      <c r="F240" t="str">
        <v>2019/11/01 15:00:00</v>
      </c>
      <c r="G240">
        <f t="shared" si="7"/>
        <v>43770</v>
      </c>
    </row>
    <row r="241" spans="1:7">
      <c r="A241" s="1">
        <v>43801</v>
      </c>
      <c r="B241">
        <v>49.2</v>
      </c>
      <c r="C241">
        <v>48.1</v>
      </c>
      <c r="D241" t="str">
        <f t="shared" si="6"/>
        <v>2019/12/02 16:00:00</v>
      </c>
      <c r="F241" t="str">
        <v>2019/12/02 16:00:00</v>
      </c>
      <c r="G241">
        <f t="shared" si="7"/>
        <v>43801</v>
      </c>
    </row>
    <row r="242" spans="1:7">
      <c r="A242" s="1">
        <v>43833</v>
      </c>
      <c r="B242">
        <v>49</v>
      </c>
      <c r="C242">
        <v>47.2</v>
      </c>
      <c r="D242" t="str">
        <f t="shared" si="6"/>
        <v>2020/01/03 16:00:00</v>
      </c>
      <c r="F242" t="str">
        <v>2020/01/03 16:00:00</v>
      </c>
      <c r="G242">
        <f t="shared" si="7"/>
        <v>43833</v>
      </c>
    </row>
    <row r="243" spans="1:7">
      <c r="A243" s="1">
        <v>43864</v>
      </c>
      <c r="B243">
        <v>48.5</v>
      </c>
      <c r="C243">
        <v>50.9</v>
      </c>
      <c r="D243" t="str">
        <f t="shared" si="6"/>
        <v>2020/02/03 16:00:00</v>
      </c>
      <c r="F243" t="str">
        <v>2020/02/03 16:00:00</v>
      </c>
      <c r="G243">
        <f t="shared" si="7"/>
        <v>43864</v>
      </c>
    </row>
    <row r="244" spans="1:7">
      <c r="A244" s="1">
        <v>43892</v>
      </c>
      <c r="B244">
        <v>50.5</v>
      </c>
      <c r="C244">
        <v>50.1</v>
      </c>
      <c r="D244" t="str">
        <f t="shared" si="6"/>
        <v>2020/03/02 16:00:00</v>
      </c>
      <c r="F244" t="str">
        <v>2020/03/02 16:00:00</v>
      </c>
      <c r="G244">
        <f t="shared" si="7"/>
        <v>43892</v>
      </c>
    </row>
    <row r="245" spans="1:7">
      <c r="A245" s="1">
        <v>43922</v>
      </c>
      <c r="B245">
        <v>44.5</v>
      </c>
      <c r="C245">
        <v>49.1</v>
      </c>
      <c r="D245" t="str">
        <f t="shared" si="6"/>
        <v>2020/04/01 16:00:00</v>
      </c>
      <c r="F245" t="str">
        <v>2020/04/01 16:00:00</v>
      </c>
      <c r="G245">
        <f t="shared" si="7"/>
        <v>43922</v>
      </c>
    </row>
    <row r="246" spans="1:7">
      <c r="A246" s="1">
        <v>43952</v>
      </c>
      <c r="B246">
        <v>36</v>
      </c>
      <c r="C246">
        <v>41.5</v>
      </c>
      <c r="D246" t="str">
        <f t="shared" si="6"/>
        <v>2020/05/01 16:00:00</v>
      </c>
      <c r="F246" t="str">
        <v>2020/05/01 16:00:00</v>
      </c>
      <c r="G246">
        <f t="shared" si="7"/>
        <v>43952</v>
      </c>
    </row>
    <row r="247" spans="1:7">
      <c r="A247" s="1">
        <v>43983</v>
      </c>
      <c r="B247">
        <v>43.8</v>
      </c>
      <c r="C247">
        <v>43.1</v>
      </c>
      <c r="D247" t="str">
        <f t="shared" si="6"/>
        <v>2020/06/01 16:00:00</v>
      </c>
      <c r="F247" t="str">
        <v>2020/06/01 16:00:00</v>
      </c>
      <c r="G247">
        <f t="shared" si="7"/>
        <v>43983</v>
      </c>
    </row>
    <row r="248" spans="1:7">
      <c r="A248" s="1">
        <v>44013</v>
      </c>
      <c r="B248">
        <v>49.8</v>
      </c>
      <c r="C248">
        <v>52.6</v>
      </c>
      <c r="D248" t="str">
        <f t="shared" si="6"/>
        <v>2020/07/01 16:00:00</v>
      </c>
      <c r="F248" t="str">
        <v>2020/07/01 16:00:00</v>
      </c>
      <c r="G248">
        <f t="shared" si="7"/>
        <v>44013</v>
      </c>
    </row>
    <row r="249" spans="1:7">
      <c r="A249" s="1">
        <v>44046</v>
      </c>
      <c r="B249">
        <v>53.6</v>
      </c>
      <c r="C249">
        <v>54.2</v>
      </c>
      <c r="D249" t="str">
        <f t="shared" si="6"/>
        <v>2020/08/03 16:00:00</v>
      </c>
      <c r="F249" t="str">
        <v>2020/08/03 16:00:00</v>
      </c>
      <c r="G249">
        <f t="shared" si="7"/>
        <v>44046</v>
      </c>
    </row>
    <row r="250" spans="1:7">
      <c r="A250" s="1">
        <v>44075</v>
      </c>
      <c r="B250">
        <v>54.8</v>
      </c>
      <c r="C250">
        <v>56</v>
      </c>
      <c r="D250" t="str">
        <f t="shared" si="6"/>
        <v>2020/09/01 16:00:00</v>
      </c>
      <c r="F250" t="str">
        <v>2020/09/01 16:00:00</v>
      </c>
      <c r="G250">
        <f t="shared" si="7"/>
        <v>44075</v>
      </c>
    </row>
    <row r="251" spans="1:7">
      <c r="A251" s="1">
        <v>44105</v>
      </c>
      <c r="B251">
        <v>56.5</v>
      </c>
      <c r="C251">
        <v>55.4</v>
      </c>
      <c r="D251" t="str">
        <f t="shared" si="6"/>
        <v>2020/10/01 16:00:00</v>
      </c>
      <c r="F251" t="str">
        <v>2020/10/01 16:00:00</v>
      </c>
      <c r="G251">
        <f t="shared" si="7"/>
        <v>44105</v>
      </c>
    </row>
    <row r="252" spans="1:7">
      <c r="A252" s="1">
        <v>44137</v>
      </c>
      <c r="B252">
        <v>56</v>
      </c>
      <c r="C252">
        <v>59.3</v>
      </c>
      <c r="D252" t="str">
        <f t="shared" si="6"/>
        <v>2020/11/02 16:00:00</v>
      </c>
      <c r="F252" t="str">
        <v>2020/11/02 16:00:00</v>
      </c>
      <c r="G252">
        <f t="shared" si="7"/>
        <v>44137</v>
      </c>
    </row>
    <row r="253" spans="1:7">
      <c r="A253" s="1">
        <v>44166</v>
      </c>
      <c r="B253">
        <v>58</v>
      </c>
      <c r="C253">
        <v>57.5</v>
      </c>
      <c r="D253" t="str">
        <f t="shared" si="6"/>
        <v>2020/12/01 16:00:00</v>
      </c>
      <c r="F253" t="str">
        <v>2020/12/01 16:00:00</v>
      </c>
      <c r="G253">
        <f t="shared" si="7"/>
        <v>44166</v>
      </c>
    </row>
    <row r="254" spans="1:7">
      <c r="A254" s="1">
        <v>44201</v>
      </c>
      <c r="B254">
        <v>56.8</v>
      </c>
      <c r="C254">
        <v>60.7</v>
      </c>
      <c r="D254" t="str">
        <f t="shared" si="6"/>
        <v>2021/01/05 16:00:00</v>
      </c>
      <c r="F254" t="str">
        <v>2021/01/05 16:00:00</v>
      </c>
      <c r="G254">
        <f t="shared" si="7"/>
        <v>44201</v>
      </c>
    </row>
    <row r="255" spans="1:7">
      <c r="A255" s="1">
        <v>44228</v>
      </c>
      <c r="B255">
        <v>60</v>
      </c>
      <c r="C255">
        <v>58.7</v>
      </c>
      <c r="D255" t="str">
        <f t="shared" si="6"/>
        <v>2021/02/01 16:00:00</v>
      </c>
      <c r="F255" t="str">
        <v>2021/02/01 16:00:00</v>
      </c>
      <c r="G255">
        <f t="shared" si="7"/>
        <v>44228</v>
      </c>
    </row>
    <row r="256" spans="1:7">
      <c r="A256" s="1">
        <v>44256</v>
      </c>
      <c r="B256">
        <v>58.9</v>
      </c>
      <c r="C256">
        <v>60.8</v>
      </c>
      <c r="D256" t="str">
        <f t="shared" si="6"/>
        <v>2021/03/01 16:00:00</v>
      </c>
      <c r="F256" t="str">
        <v>2021/03/01 16:00:00</v>
      </c>
      <c r="G256">
        <f t="shared" si="7"/>
        <v>44256</v>
      </c>
    </row>
    <row r="257" spans="1:7">
      <c r="A257" s="1">
        <v>44287</v>
      </c>
      <c r="B257">
        <v>61.5</v>
      </c>
      <c r="C257">
        <v>64.7</v>
      </c>
      <c r="D257" t="str">
        <f t="shared" si="6"/>
        <v>2021/04/01 16:00:00</v>
      </c>
      <c r="F257" t="str">
        <v>2021/04/01 16:00:00</v>
      </c>
      <c r="G257">
        <f t="shared" si="7"/>
        <v>44287</v>
      </c>
    </row>
    <row r="258" spans="1:7">
      <c r="A258" s="1">
        <v>44319</v>
      </c>
      <c r="B258">
        <v>65</v>
      </c>
      <c r="C258">
        <v>60.7</v>
      </c>
      <c r="D258" t="str">
        <f t="shared" si="6"/>
        <v>2021/05/03 16:00:00</v>
      </c>
      <c r="F258" t="str">
        <v>2021/05/03 16:00:00</v>
      </c>
      <c r="G258">
        <f t="shared" si="7"/>
        <v>44319</v>
      </c>
    </row>
    <row r="259" spans="1:7">
      <c r="A259" s="1">
        <v>44348</v>
      </c>
      <c r="B259">
        <v>61</v>
      </c>
      <c r="C259">
        <v>61.2</v>
      </c>
      <c r="D259" t="str">
        <f t="shared" ref="D259:D316" si="8">_xlfn.XLOOKUP(A259,$G:$G,$F:$F,"")</f>
        <v>2021/06/01 16:00:00</v>
      </c>
      <c r="F259" t="str">
        <v>2021/06/01 16:00:00</v>
      </c>
      <c r="G259">
        <f t="shared" ref="G259:G316" si="9">INT(F259)</f>
        <v>44348</v>
      </c>
    </row>
    <row r="260" spans="1:7">
      <c r="A260" s="1">
        <v>44378</v>
      </c>
      <c r="B260">
        <v>60.9</v>
      </c>
      <c r="C260">
        <v>60.6</v>
      </c>
      <c r="D260" t="str">
        <f t="shared" si="8"/>
        <v>2021/07/01 16:00:00</v>
      </c>
      <c r="F260" t="str">
        <v>2021/07/01 16:00:00</v>
      </c>
      <c r="G260">
        <f t="shared" si="9"/>
        <v>44378</v>
      </c>
    </row>
    <row r="261" spans="1:7">
      <c r="A261" s="1">
        <v>44410</v>
      </c>
      <c r="B261">
        <v>61</v>
      </c>
      <c r="C261">
        <v>59.5</v>
      </c>
      <c r="D261" t="str">
        <f t="shared" si="8"/>
        <v>2021/08/02 16:00:00</v>
      </c>
      <c r="F261" t="str">
        <v>2021/08/02 16:00:00</v>
      </c>
      <c r="G261">
        <f t="shared" si="9"/>
        <v>44410</v>
      </c>
    </row>
    <row r="262" spans="1:7">
      <c r="A262" s="1">
        <v>44440</v>
      </c>
      <c r="B262">
        <v>58.5</v>
      </c>
      <c r="C262">
        <v>59.9</v>
      </c>
      <c r="D262" t="str">
        <f t="shared" si="8"/>
        <v>2021/09/01 16:00:00</v>
      </c>
      <c r="F262" t="str">
        <v>2021/09/01 16:00:00</v>
      </c>
      <c r="G262">
        <f t="shared" si="9"/>
        <v>44440</v>
      </c>
    </row>
    <row r="263" spans="1:7">
      <c r="A263" s="1">
        <v>44470</v>
      </c>
      <c r="B263">
        <v>59.5</v>
      </c>
      <c r="C263">
        <v>61.1</v>
      </c>
      <c r="D263" t="str">
        <f t="shared" si="8"/>
        <v>2021/10/01 16:00:00</v>
      </c>
      <c r="F263" t="str">
        <v>2021/10/01 16:00:00</v>
      </c>
      <c r="G263">
        <f t="shared" si="9"/>
        <v>44470</v>
      </c>
    </row>
    <row r="264" spans="1:7">
      <c r="A264" s="1">
        <v>44501</v>
      </c>
      <c r="B264">
        <v>60.5</v>
      </c>
      <c r="C264">
        <v>60.8</v>
      </c>
      <c r="D264" t="str">
        <f t="shared" si="8"/>
        <v>2021/11/01 15:00:00</v>
      </c>
      <c r="F264" t="str">
        <v>2021/11/01 15:00:00</v>
      </c>
      <c r="G264">
        <f t="shared" si="9"/>
        <v>44501</v>
      </c>
    </row>
    <row r="265" spans="1:7">
      <c r="A265" s="1">
        <v>44531</v>
      </c>
      <c r="B265">
        <v>61.2</v>
      </c>
      <c r="C265">
        <v>61.1</v>
      </c>
      <c r="D265" t="str">
        <f t="shared" si="8"/>
        <v>2021/12/01 16:00:00</v>
      </c>
      <c r="F265" t="str">
        <v>2021/12/01 16:00:00</v>
      </c>
      <c r="G265">
        <f t="shared" si="9"/>
        <v>44531</v>
      </c>
    </row>
    <row r="266" spans="1:7">
      <c r="A266" s="1">
        <v>44565</v>
      </c>
      <c r="B266">
        <v>60</v>
      </c>
      <c r="C266">
        <v>58.7</v>
      </c>
      <c r="D266" t="str">
        <f t="shared" si="8"/>
        <v>2022/01/04 16:00:00</v>
      </c>
      <c r="F266" t="str">
        <v>2022/01/04 16:00:00</v>
      </c>
      <c r="G266">
        <f t="shared" si="9"/>
        <v>44565</v>
      </c>
    </row>
    <row r="267" spans="1:7">
      <c r="A267" s="1">
        <v>44593</v>
      </c>
      <c r="B267">
        <v>57.5</v>
      </c>
      <c r="C267">
        <v>57.6</v>
      </c>
      <c r="D267" t="str">
        <f t="shared" si="8"/>
        <v>2022/02/01 16:00:00</v>
      </c>
      <c r="F267" t="str">
        <v>2022/02/01 16:00:00</v>
      </c>
      <c r="G267">
        <f t="shared" si="9"/>
        <v>44593</v>
      </c>
    </row>
    <row r="268" spans="1:7">
      <c r="A268" s="1">
        <v>44621</v>
      </c>
      <c r="B268">
        <v>58</v>
      </c>
      <c r="C268">
        <v>58.6</v>
      </c>
      <c r="D268" t="str">
        <f t="shared" si="8"/>
        <v>2022/03/01 16:00:00</v>
      </c>
      <c r="F268" t="str">
        <v>2022/03/01 16:00:00</v>
      </c>
      <c r="G268">
        <f t="shared" si="9"/>
        <v>44621</v>
      </c>
    </row>
    <row r="269" spans="1:7">
      <c r="A269" s="1">
        <v>44652</v>
      </c>
      <c r="B269">
        <v>59</v>
      </c>
      <c r="C269">
        <v>57.1</v>
      </c>
      <c r="D269" t="str">
        <f t="shared" si="8"/>
        <v>2022/04/01 16:00:00</v>
      </c>
      <c r="F269" t="str">
        <v>2022/04/01 16:00:00</v>
      </c>
      <c r="G269">
        <f t="shared" si="9"/>
        <v>44652</v>
      </c>
    </row>
    <row r="270" spans="1:7">
      <c r="A270" s="1">
        <v>44683</v>
      </c>
      <c r="B270">
        <v>57.6</v>
      </c>
      <c r="C270">
        <v>55.4</v>
      </c>
      <c r="D270" t="str">
        <f t="shared" si="8"/>
        <v>2022/05/02 16:00:00</v>
      </c>
      <c r="F270" t="str">
        <v>2022/05/02 16:00:00</v>
      </c>
      <c r="G270">
        <f t="shared" si="9"/>
        <v>44683</v>
      </c>
    </row>
    <row r="271" spans="1:7">
      <c r="A271" s="1">
        <v>44713</v>
      </c>
      <c r="B271">
        <v>54.5</v>
      </c>
      <c r="C271">
        <v>56.1</v>
      </c>
      <c r="D271" t="str">
        <f t="shared" si="8"/>
        <v>2022/06/01 16:00:00</v>
      </c>
      <c r="F271" t="str">
        <v>2022/06/01 16:00:00</v>
      </c>
      <c r="G271">
        <f t="shared" si="9"/>
        <v>44713</v>
      </c>
    </row>
    <row r="272" spans="1:7">
      <c r="A272" s="1">
        <v>44743</v>
      </c>
      <c r="B272">
        <v>54.5</v>
      </c>
      <c r="C272">
        <v>53</v>
      </c>
      <c r="D272" t="str">
        <f t="shared" si="8"/>
        <v>2022/07/01 16:00:00</v>
      </c>
      <c r="F272" t="str">
        <v>2022/07/01 16:00:00</v>
      </c>
      <c r="G272">
        <f t="shared" si="9"/>
        <v>44743</v>
      </c>
    </row>
    <row r="273" spans="1:7">
      <c r="A273" s="1">
        <v>44774</v>
      </c>
      <c r="B273">
        <v>52</v>
      </c>
      <c r="C273">
        <v>52.8</v>
      </c>
      <c r="D273" t="str">
        <f t="shared" si="8"/>
        <v>2022/08/01 16:00:00</v>
      </c>
      <c r="F273" t="str">
        <v>2022/08/01 16:00:00</v>
      </c>
      <c r="G273">
        <f t="shared" si="9"/>
        <v>44774</v>
      </c>
    </row>
    <row r="274" spans="1:7">
      <c r="A274" s="1">
        <v>44805</v>
      </c>
      <c r="B274">
        <v>51.9</v>
      </c>
      <c r="C274">
        <v>52.8</v>
      </c>
      <c r="D274" t="str">
        <f t="shared" si="8"/>
        <v>2022/09/01 16:00:00</v>
      </c>
      <c r="F274" t="str">
        <v>2022/09/01 16:00:00</v>
      </c>
      <c r="G274">
        <f t="shared" si="9"/>
        <v>44805</v>
      </c>
    </row>
    <row r="275" spans="1:7">
      <c r="A275" s="1">
        <v>44837</v>
      </c>
      <c r="B275">
        <v>52</v>
      </c>
      <c r="C275">
        <v>50.9</v>
      </c>
      <c r="D275" t="str">
        <f t="shared" si="8"/>
        <v>2022/10/03 16:00:00</v>
      </c>
      <c r="F275" t="str">
        <v>2022/10/03 16:00:00</v>
      </c>
      <c r="G275">
        <f t="shared" si="9"/>
        <v>44837</v>
      </c>
    </row>
    <row r="276" spans="1:7">
      <c r="A276" s="1">
        <v>44866</v>
      </c>
      <c r="B276">
        <v>50</v>
      </c>
      <c r="C276">
        <v>50.2</v>
      </c>
      <c r="D276" t="str">
        <f t="shared" si="8"/>
        <v>2022/11/01 15:00:00</v>
      </c>
      <c r="F276" t="str">
        <v>2022/11/01 15:00:00</v>
      </c>
      <c r="G276">
        <f t="shared" si="9"/>
        <v>44866</v>
      </c>
    </row>
    <row r="277" spans="1:7">
      <c r="A277" s="1">
        <v>44896</v>
      </c>
      <c r="B277">
        <v>49.7</v>
      </c>
      <c r="C277">
        <v>49</v>
      </c>
      <c r="D277" t="str">
        <f t="shared" si="8"/>
        <v>2022/12/01 16:00:00</v>
      </c>
      <c r="F277" t="str">
        <v>2022/12/01 16:00:00</v>
      </c>
      <c r="G277">
        <f t="shared" si="9"/>
        <v>44896</v>
      </c>
    </row>
    <row r="278" spans="1:7">
      <c r="A278" s="1">
        <v>44930</v>
      </c>
      <c r="B278">
        <v>48.5</v>
      </c>
      <c r="C278">
        <v>48.4</v>
      </c>
      <c r="D278" t="str">
        <f t="shared" si="8"/>
        <v>2023/01/04 16:00:00</v>
      </c>
      <c r="F278" t="str">
        <v>2023/01/04 16:00:00</v>
      </c>
      <c r="G278">
        <f t="shared" si="9"/>
        <v>44930</v>
      </c>
    </row>
    <row r="279" spans="1:7">
      <c r="A279" s="1">
        <v>44958</v>
      </c>
      <c r="B279">
        <v>48</v>
      </c>
      <c r="C279">
        <v>47.4</v>
      </c>
      <c r="D279" t="str">
        <f t="shared" si="8"/>
        <v>2023/02/01 16:00:00</v>
      </c>
      <c r="F279" t="str">
        <v>2023/02/01 16:00:00</v>
      </c>
      <c r="G279">
        <f t="shared" si="9"/>
        <v>44958</v>
      </c>
    </row>
    <row r="280" spans="1:7">
      <c r="A280" s="1">
        <v>44986</v>
      </c>
      <c r="B280">
        <v>48</v>
      </c>
      <c r="C280">
        <v>47.7</v>
      </c>
      <c r="D280" t="str">
        <f t="shared" si="8"/>
        <v>2023/03/01 16:00:00</v>
      </c>
      <c r="F280" t="str">
        <v>2023/03/01 16:00:00</v>
      </c>
      <c r="G280">
        <f t="shared" si="9"/>
        <v>44986</v>
      </c>
    </row>
    <row r="281" spans="1:7">
      <c r="A281" s="1">
        <v>45019</v>
      </c>
      <c r="B281">
        <v>47.5</v>
      </c>
      <c r="C281">
        <v>46.3</v>
      </c>
      <c r="D281" t="str">
        <f t="shared" si="8"/>
        <v>2023/04/03 16:00:00</v>
      </c>
      <c r="F281" t="str">
        <v>2023/04/03 16:00:00</v>
      </c>
      <c r="G281">
        <f t="shared" si="9"/>
        <v>45019</v>
      </c>
    </row>
    <row r="282" spans="1:7">
      <c r="A282" s="1">
        <v>45047</v>
      </c>
      <c r="B282">
        <v>46.8</v>
      </c>
      <c r="C282">
        <v>47.1</v>
      </c>
      <c r="D282" t="str">
        <f t="shared" si="8"/>
        <v>2023/05/01 16:00:00</v>
      </c>
      <c r="F282" t="str">
        <v>2023/05/01 16:00:00</v>
      </c>
      <c r="G282">
        <f t="shared" si="9"/>
        <v>45047</v>
      </c>
    </row>
    <row r="283" spans="1:7">
      <c r="A283" s="1">
        <v>45078</v>
      </c>
      <c r="B283">
        <v>47</v>
      </c>
      <c r="C283">
        <v>46.9</v>
      </c>
      <c r="D283" t="str">
        <f t="shared" si="8"/>
        <v>2023/06/01 16:00:00</v>
      </c>
      <c r="F283" t="str">
        <v>2023/06/01 16:00:00</v>
      </c>
      <c r="G283">
        <f t="shared" si="9"/>
        <v>45078</v>
      </c>
    </row>
    <row r="284" spans="1:7">
      <c r="A284" s="1">
        <v>45110</v>
      </c>
      <c r="B284">
        <v>47.1</v>
      </c>
      <c r="C284">
        <v>46</v>
      </c>
      <c r="D284" t="str">
        <f t="shared" si="8"/>
        <v>2023/07/03 16:00:00</v>
      </c>
      <c r="F284" t="str">
        <v>2023/07/03 16:00:00</v>
      </c>
      <c r="G284">
        <f t="shared" si="9"/>
        <v>45110</v>
      </c>
    </row>
    <row r="285" spans="1:7">
      <c r="A285" s="1">
        <v>45139</v>
      </c>
      <c r="B285">
        <v>46.9</v>
      </c>
      <c r="C285">
        <v>46.4</v>
      </c>
      <c r="D285" t="str">
        <f t="shared" si="8"/>
        <v>2023/08/01 16:00:00</v>
      </c>
      <c r="F285" t="str">
        <v>2023/08/01 16:00:00</v>
      </c>
      <c r="G285">
        <f t="shared" si="9"/>
        <v>45139</v>
      </c>
    </row>
    <row r="286" spans="1:7">
      <c r="A286" s="1">
        <v>45170</v>
      </c>
      <c r="B286">
        <v>47</v>
      </c>
      <c r="C286">
        <v>47.6</v>
      </c>
      <c r="D286" t="str">
        <f t="shared" si="8"/>
        <v>2023/09/01 16:00:00</v>
      </c>
      <c r="F286" t="str">
        <v>2023/09/01 16:00:00</v>
      </c>
      <c r="G286">
        <f t="shared" si="9"/>
        <v>45170</v>
      </c>
    </row>
    <row r="287" spans="1:7">
      <c r="A287" s="1">
        <v>45201</v>
      </c>
      <c r="B287">
        <v>47.9</v>
      </c>
      <c r="C287">
        <v>49</v>
      </c>
      <c r="D287" t="str">
        <f t="shared" si="8"/>
        <v>2023/10/02 16:00:00</v>
      </c>
      <c r="F287" t="str">
        <v>2023/10/02 16:00:00</v>
      </c>
      <c r="G287">
        <f t="shared" si="9"/>
        <v>45201</v>
      </c>
    </row>
    <row r="288" spans="1:7">
      <c r="A288" s="1">
        <v>45231</v>
      </c>
      <c r="B288">
        <v>49</v>
      </c>
      <c r="C288">
        <v>46.7</v>
      </c>
      <c r="D288" t="str">
        <f t="shared" si="8"/>
        <v>2023/11/01 15:00:00</v>
      </c>
      <c r="F288" t="str">
        <v>2023/11/01 15:00:00</v>
      </c>
      <c r="G288">
        <f t="shared" si="9"/>
        <v>45231</v>
      </c>
    </row>
    <row r="289" spans="1:7">
      <c r="A289" s="1">
        <v>45261</v>
      </c>
      <c r="B289">
        <v>47.8</v>
      </c>
      <c r="C289">
        <v>46.7</v>
      </c>
      <c r="D289" t="str">
        <f t="shared" si="8"/>
        <v>2023/12/01 16:00:00</v>
      </c>
      <c r="F289" t="str">
        <v>2023/12/01 16:00:00</v>
      </c>
      <c r="G289">
        <f t="shared" si="9"/>
        <v>45261</v>
      </c>
    </row>
    <row r="290" spans="1:7">
      <c r="A290" s="1">
        <v>45294</v>
      </c>
      <c r="B290">
        <v>47.1</v>
      </c>
      <c r="C290">
        <v>47.4</v>
      </c>
      <c r="D290" t="str">
        <f t="shared" si="8"/>
        <v>2024/01/03 16:00:00</v>
      </c>
      <c r="F290" t="str">
        <v>2024/01/03 16:00:00</v>
      </c>
      <c r="G290">
        <f t="shared" si="9"/>
        <v>45294</v>
      </c>
    </row>
    <row r="291" spans="1:7">
      <c r="A291" s="1">
        <v>45323</v>
      </c>
      <c r="B291">
        <v>47.2</v>
      </c>
      <c r="C291">
        <v>49.1</v>
      </c>
      <c r="D291" t="str">
        <f t="shared" si="8"/>
        <v>2024/02/01 16:00:00</v>
      </c>
      <c r="F291" t="str">
        <v>2024/02/01 16:00:00</v>
      </c>
      <c r="G291">
        <f t="shared" si="9"/>
        <v>45323</v>
      </c>
    </row>
    <row r="292" spans="1:7">
      <c r="A292" s="1">
        <v>45352</v>
      </c>
      <c r="B292">
        <v>49.5</v>
      </c>
      <c r="C292">
        <v>47.8</v>
      </c>
      <c r="D292" t="str">
        <f t="shared" si="8"/>
        <v>2024/03/01 16:00:00</v>
      </c>
      <c r="F292" t="str">
        <v>2024/03/01 16:00:00</v>
      </c>
      <c r="G292">
        <f t="shared" si="9"/>
        <v>45352</v>
      </c>
    </row>
    <row r="293" spans="1:7">
      <c r="A293" s="1">
        <v>45383</v>
      </c>
      <c r="B293">
        <v>48.3</v>
      </c>
      <c r="C293">
        <v>50.3</v>
      </c>
      <c r="D293" t="str">
        <f t="shared" si="8"/>
        <v>2024/04/01 16:00:00</v>
      </c>
      <c r="F293" t="str">
        <v>2024/04/01 16:00:00</v>
      </c>
      <c r="G293">
        <f t="shared" si="9"/>
        <v>45383</v>
      </c>
    </row>
    <row r="294" spans="1:7">
      <c r="A294" s="1">
        <v>45413</v>
      </c>
      <c r="B294">
        <v>50</v>
      </c>
      <c r="C294">
        <v>49.2</v>
      </c>
      <c r="D294" t="str">
        <f t="shared" si="8"/>
        <v>2024/05/01 16:00:00</v>
      </c>
      <c r="F294" t="str">
        <v>2024/05/01 16:00:00</v>
      </c>
      <c r="G294">
        <f t="shared" si="9"/>
        <v>45413</v>
      </c>
    </row>
    <row r="295" spans="1:7">
      <c r="A295" s="1">
        <v>45446</v>
      </c>
      <c r="B295">
        <v>49.5</v>
      </c>
      <c r="C295">
        <v>48.7</v>
      </c>
      <c r="D295" t="str">
        <f t="shared" si="8"/>
        <v>2024/06/03 16:00:00</v>
      </c>
      <c r="F295" t="str">
        <v>2024/06/03 16:00:00</v>
      </c>
      <c r="G295">
        <f t="shared" si="9"/>
        <v>45446</v>
      </c>
    </row>
    <row r="296" spans="1:7">
      <c r="A296" s="1">
        <v>45474</v>
      </c>
      <c r="B296">
        <v>49.1</v>
      </c>
      <c r="C296">
        <v>48.5</v>
      </c>
      <c r="D296" t="str">
        <f t="shared" si="8"/>
        <v>2024/07/01 16:00:00</v>
      </c>
      <c r="F296" t="str">
        <v>2024/07/01 16:00:00</v>
      </c>
      <c r="G296">
        <f t="shared" si="9"/>
        <v>45474</v>
      </c>
    </row>
    <row r="297" spans="1:7">
      <c r="A297" s="1">
        <v>45505</v>
      </c>
      <c r="B297">
        <v>48.8</v>
      </c>
      <c r="C297">
        <v>46.8</v>
      </c>
      <c r="D297" t="str">
        <f t="shared" si="8"/>
        <v>2024/08/01 16:00:00</v>
      </c>
      <c r="F297" t="str">
        <v>2024/08/01 16:00:00</v>
      </c>
      <c r="G297">
        <f t="shared" si="9"/>
        <v>45505</v>
      </c>
    </row>
    <row r="298" spans="1:7">
      <c r="A298" s="1">
        <v>45538</v>
      </c>
      <c r="B298">
        <v>47.5</v>
      </c>
      <c r="C298">
        <v>47.2</v>
      </c>
      <c r="D298" t="str">
        <f t="shared" si="8"/>
        <v>2024/09/03 16:00:00</v>
      </c>
      <c r="F298" t="str">
        <v>2024/09/03 16:00:00</v>
      </c>
      <c r="G298">
        <f t="shared" si="9"/>
        <v>45538</v>
      </c>
    </row>
    <row r="299" spans="1:7">
      <c r="A299" s="1">
        <v>45566</v>
      </c>
      <c r="B299">
        <v>47.5</v>
      </c>
      <c r="C299">
        <v>47.2</v>
      </c>
      <c r="D299" t="str">
        <f t="shared" si="8"/>
        <v>2024/10/01 16:00:00</v>
      </c>
      <c r="F299" t="str">
        <v>2024/10/01 16:00:00</v>
      </c>
      <c r="G299">
        <f t="shared" si="9"/>
        <v>45566</v>
      </c>
    </row>
    <row r="300" spans="1:7">
      <c r="A300" s="1">
        <v>45597</v>
      </c>
      <c r="B300">
        <v>47.6</v>
      </c>
      <c r="C300">
        <v>46.5</v>
      </c>
      <c r="D300" t="str">
        <f t="shared" si="8"/>
        <v>2024/11/01 15:00:00</v>
      </c>
      <c r="F300" t="str">
        <v>2024/11/01 15:00:00</v>
      </c>
      <c r="G300">
        <f t="shared" si="9"/>
        <v>45597</v>
      </c>
    </row>
    <row r="301" spans="1:7">
      <c r="A301" s="1">
        <v>45628</v>
      </c>
      <c r="B301">
        <v>47.5</v>
      </c>
      <c r="C301">
        <v>48.4</v>
      </c>
      <c r="D301" t="str">
        <f t="shared" si="8"/>
        <v>2024/12/02 16:00:00</v>
      </c>
      <c r="F301" t="str">
        <v>2024/12/02 16:00:00</v>
      </c>
      <c r="G301">
        <f t="shared" si="9"/>
        <v>45628</v>
      </c>
    </row>
    <row r="302" spans="1:7">
      <c r="A302" s="1">
        <v>45660</v>
      </c>
      <c r="B302">
        <v>48.2</v>
      </c>
      <c r="C302">
        <v>49.3</v>
      </c>
      <c r="D302" t="str">
        <f t="shared" si="8"/>
        <v>2025/01/03 16:00:00</v>
      </c>
      <c r="F302" t="str">
        <v>2025/01/03 16:00:00</v>
      </c>
      <c r="G302">
        <f t="shared" si="9"/>
        <v>45660</v>
      </c>
    </row>
    <row r="303" spans="1:7">
      <c r="A303" s="1">
        <v>45691</v>
      </c>
      <c r="B303">
        <v>50</v>
      </c>
      <c r="C303">
        <v>50.9</v>
      </c>
      <c r="D303" t="str">
        <f t="shared" si="8"/>
        <v>2025/02/03 16:00:00</v>
      </c>
      <c r="F303" t="str">
        <v>2025/02/03 16:00:00</v>
      </c>
      <c r="G303">
        <f t="shared" si="9"/>
        <v>45691</v>
      </c>
    </row>
    <row r="304" spans="1:7">
      <c r="A304" s="1">
        <v>45719</v>
      </c>
      <c r="B304">
        <v>50.7</v>
      </c>
      <c r="C304">
        <v>50.3</v>
      </c>
      <c r="D304" t="str">
        <f t="shared" si="8"/>
        <v>2025/03/03 16:00:00</v>
      </c>
      <c r="F304" t="str">
        <v>2025/03/03 16:00:00</v>
      </c>
      <c r="G304">
        <f t="shared" si="9"/>
        <v>45719</v>
      </c>
    </row>
    <row r="305" spans="1:7">
      <c r="A305" s="1">
        <v>45748</v>
      </c>
      <c r="B305">
        <v>49.5</v>
      </c>
      <c r="C305">
        <v>49</v>
      </c>
      <c r="D305" t="str">
        <f t="shared" si="8"/>
        <v>2025/04/01 16:00:00</v>
      </c>
      <c r="F305" t="str">
        <v>2025/04/01 16:00:00</v>
      </c>
      <c r="G305">
        <f t="shared" si="9"/>
        <v>45748</v>
      </c>
    </row>
    <row r="306" spans="1:7">
      <c r="A306" s="1">
        <v>45778</v>
      </c>
      <c r="B306">
        <v>47.9</v>
      </c>
      <c r="C306">
        <v>48.7</v>
      </c>
      <c r="D306" t="str">
        <f t="shared" si="8"/>
        <v>2025/05/01 16:00:00</v>
      </c>
      <c r="F306" t="str">
        <v>2025/05/01 16:00:00</v>
      </c>
      <c r="G306">
        <f t="shared" si="9"/>
        <v>45778</v>
      </c>
    </row>
    <row r="307" spans="1:7">
      <c r="A307" s="1">
        <v>45810</v>
      </c>
      <c r="B307">
        <v>49.5</v>
      </c>
      <c r="C307">
        <v>48.5</v>
      </c>
      <c r="D307" t="str">
        <f t="shared" si="8"/>
        <v>2025/06/02 16:00:00</v>
      </c>
      <c r="F307" t="str">
        <v>2025/06/02 16:00:00</v>
      </c>
      <c r="G307">
        <f t="shared" si="9"/>
        <v>45810</v>
      </c>
    </row>
    <row r="308" spans="1:7">
      <c r="A308" s="1">
        <v>45839</v>
      </c>
      <c r="B308">
        <v>48.8</v>
      </c>
      <c r="C308">
        <v>49</v>
      </c>
      <c r="D308" t="str">
        <f t="shared" si="8"/>
        <v>2025/07/01 16:00:00</v>
      </c>
      <c r="F308" t="str">
        <v>2025/07/01 16:00:00</v>
      </c>
      <c r="G308">
        <f t="shared" si="9"/>
        <v>45839</v>
      </c>
    </row>
    <row r="309" spans="1:7">
      <c r="A309" s="1">
        <v>45870</v>
      </c>
      <c r="B309">
        <v>49.5</v>
      </c>
      <c r="C309">
        <v>48</v>
      </c>
      <c r="D309" t="str">
        <f t="shared" si="8"/>
        <v>2025/08/01 16:00:00</v>
      </c>
      <c r="F309" t="str">
        <v>2025/08/01 16:00:00</v>
      </c>
      <c r="G309">
        <f t="shared" si="9"/>
        <v>45870</v>
      </c>
    </row>
    <row r="310" spans="1:7">
      <c r="A310" s="1">
        <v>45902</v>
      </c>
      <c r="B310">
        <v>49</v>
      </c>
      <c r="C310">
        <v>48.7</v>
      </c>
      <c r="D310" t="str">
        <f t="shared" si="8"/>
        <v>2025/09/02 16:00:00</v>
      </c>
      <c r="F310" t="str">
        <v>2025/09/02 16:00:00</v>
      </c>
      <c r="G310">
        <f t="shared" si="9"/>
        <v>45902</v>
      </c>
    </row>
    <row r="311" spans="1:7">
      <c r="A311" s="1">
        <v>45931</v>
      </c>
      <c r="B311">
        <v>49</v>
      </c>
      <c r="C311">
        <v>49.1</v>
      </c>
      <c r="D311" t="str">
        <f t="shared" si="8"/>
        <v>2025/10/01 16:00:00</v>
      </c>
      <c r="F311" t="str">
        <v>2025/10/01 16:00:00</v>
      </c>
      <c r="G311">
        <f t="shared" si="9"/>
        <v>45931</v>
      </c>
    </row>
    <row r="312" spans="1:7">
      <c r="A312" s="1">
        <v>45964</v>
      </c>
      <c r="B312">
        <v>49.5</v>
      </c>
      <c r="C312">
        <v>48.7</v>
      </c>
      <c r="D312" t="str">
        <f t="shared" si="8"/>
        <v>2025/11/03 16:00:00</v>
      </c>
      <c r="F312" t="str">
        <v>2025/11/03 16:00:00</v>
      </c>
      <c r="G312">
        <f t="shared" si="9"/>
        <v>45964</v>
      </c>
    </row>
    <row r="313" spans="1:7">
      <c r="A313" s="1">
        <v>45992</v>
      </c>
      <c r="B313">
        <v>49</v>
      </c>
      <c r="C313">
        <v>48.2</v>
      </c>
      <c r="D313" t="str">
        <f t="shared" si="8"/>
        <v>2025/12/01 16:00:00</v>
      </c>
      <c r="F313" t="str">
        <v>2025/12/01 16:00:00</v>
      </c>
      <c r="G313">
        <f t="shared" si="9"/>
        <v>45992</v>
      </c>
    </row>
    <row r="314" spans="1:7">
      <c r="A314" s="1">
        <v>46027</v>
      </c>
      <c r="B314">
        <v>48.4</v>
      </c>
      <c r="C314">
        <v>47.9</v>
      </c>
      <c r="D314" t="str">
        <f t="shared" si="8"/>
        <v>2026/01/05 16:00:00</v>
      </c>
      <c r="F314" t="str">
        <v>2026/01/05 16:00:00</v>
      </c>
      <c r="G314">
        <f t="shared" si="9"/>
        <v>46027</v>
      </c>
    </row>
    <row r="315" spans="1:7">
      <c r="A315" s="1">
        <v>46055</v>
      </c>
      <c r="B315">
        <v>48.5</v>
      </c>
      <c r="C315">
        <v>52.6</v>
      </c>
      <c r="D315" t="str">
        <f t="shared" si="8"/>
        <v>2026/02/02 16:00:00</v>
      </c>
      <c r="F315" t="str">
        <v>2026/02/02 16:00:00</v>
      </c>
      <c r="G315">
        <f t="shared" si="9"/>
        <v>46055</v>
      </c>
    </row>
    <row r="316" spans="1:7">
      <c r="A316" s="1">
        <v>46083</v>
      </c>
      <c r="B316">
        <v>51.5</v>
      </c>
      <c r="C316">
        <v>52.4</v>
      </c>
      <c r="D316" t="str">
        <f t="shared" si="8"/>
        <v>2026/03/02 16:00:00</v>
      </c>
      <c r="F316" t="str">
        <v>2026/03/02 16:00:00</v>
      </c>
      <c r="G316">
        <f t="shared" si="9"/>
        <v>46083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92E7-0A09-4252-93B9-4E48EEE3AB29}">
  <dimension ref="A1:G217"/>
  <sheetViews>
    <sheetView tabSelected="1" workbookViewId="0">
      <selection activeCell="U12" sqref="U12"/>
    </sheetView>
  </sheetViews>
  <sheetFormatPr defaultRowHeight="15"/>
  <cols>
    <col min="1" max="1" width="11" customWidth="1"/>
    <col min="2" max="2" width="8.7109375" customWidth="1"/>
    <col min="4" max="4" width="20.140625" customWidth="1"/>
    <col min="6" max="6" width="18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</row>
    <row r="2" spans="1:7">
      <c r="A2" s="1" cm="1">
        <f t="array" ref="A2:C217">_xll.BDH("FDTR Index", "BN_SURVEY_MEDIAN, ACTUAL_RELEASE", "2000-01-01", "2026-03-19", "RELEASE_DATE_OVERRIDE", "1")</f>
        <v>36558</v>
      </c>
      <c r="B2">
        <v>6</v>
      </c>
      <c r="C2">
        <v>5.75</v>
      </c>
      <c r="D2" t="str">
        <f>_xlfn.XLOOKUP(A2,$G:$G,$F:$F,"")</f>
        <v>2000/02/02 20:15:00</v>
      </c>
      <c r="F2" t="str" cm="1">
        <f t="array" ref="F2:F217">_xll.BDS("FDTR Index","ECO_FUTURE_RELEASE_DATE_LIST","START_DT=20000101","END_DT=20260319", "TIME_ZONE_OVERRIDE=24")</f>
        <v>2000/02/02 20:15:00</v>
      </c>
      <c r="G2">
        <f>INT(F2)</f>
        <v>36558</v>
      </c>
    </row>
    <row r="3" spans="1:7">
      <c r="A3" s="1">
        <v>36606</v>
      </c>
      <c r="B3">
        <v>6</v>
      </c>
      <c r="C3">
        <v>6</v>
      </c>
      <c r="D3" t="str">
        <f t="shared" ref="D3:D66" si="0">_xlfn.XLOOKUP(A3,$G:$G,$F:$F,"")</f>
        <v>2000/03/21 20:15:00</v>
      </c>
      <c r="F3" t="str">
        <v>2000/03/21 20:15:00</v>
      </c>
      <c r="G3">
        <f t="shared" ref="G3:G66" si="1">INT(F3)</f>
        <v>36606</v>
      </c>
    </row>
    <row r="4" spans="1:7">
      <c r="A4" s="1">
        <v>36662</v>
      </c>
      <c r="B4">
        <v>6.5</v>
      </c>
      <c r="C4">
        <v>6.5</v>
      </c>
      <c r="D4" t="str">
        <f t="shared" si="0"/>
        <v>2000/05/16 20:15:00</v>
      </c>
      <c r="F4" t="str">
        <v>2000/05/16 20:15:00</v>
      </c>
      <c r="G4">
        <f t="shared" si="1"/>
        <v>36662</v>
      </c>
    </row>
    <row r="5" spans="1:7">
      <c r="A5" s="1">
        <v>36705</v>
      </c>
      <c r="B5">
        <v>6.5</v>
      </c>
      <c r="C5">
        <v>6.5</v>
      </c>
      <c r="D5" t="str">
        <f t="shared" si="0"/>
        <v>2000/06/28 20:15:00</v>
      </c>
      <c r="F5" t="str">
        <v>2000/06/28 20:15:00</v>
      </c>
      <c r="G5">
        <f t="shared" si="1"/>
        <v>36705</v>
      </c>
    </row>
    <row r="6" spans="1:7">
      <c r="A6" s="1">
        <v>36760</v>
      </c>
      <c r="B6">
        <v>6.5</v>
      </c>
      <c r="C6">
        <v>6.5</v>
      </c>
      <c r="D6" t="str">
        <f t="shared" si="0"/>
        <v>2000/08/22 20:15:00</v>
      </c>
      <c r="F6" t="str">
        <v>2000/08/22 20:15:00</v>
      </c>
      <c r="G6">
        <f t="shared" si="1"/>
        <v>36760</v>
      </c>
    </row>
    <row r="7" spans="1:7">
      <c r="A7" s="1">
        <v>36802</v>
      </c>
      <c r="B7">
        <v>6.5</v>
      </c>
      <c r="C7">
        <v>6.5</v>
      </c>
      <c r="D7" t="str">
        <f t="shared" si="0"/>
        <v>2000/10/03 20:15:00</v>
      </c>
      <c r="F7" t="str">
        <v>2000/10/03 20:15:00</v>
      </c>
      <c r="G7">
        <f t="shared" si="1"/>
        <v>36802</v>
      </c>
    </row>
    <row r="8" spans="1:7">
      <c r="A8" s="1">
        <v>36845</v>
      </c>
      <c r="B8">
        <v>6.5</v>
      </c>
      <c r="C8">
        <v>6.5</v>
      </c>
      <c r="D8" t="str">
        <f t="shared" si="0"/>
        <v>2000/11/15 20:15:00</v>
      </c>
      <c r="F8" t="str">
        <v>2000/11/15 20:15:00</v>
      </c>
      <c r="G8">
        <f t="shared" si="1"/>
        <v>36845</v>
      </c>
    </row>
    <row r="9" spans="1:7">
      <c r="A9" s="1">
        <v>36879</v>
      </c>
      <c r="B9">
        <v>6.5</v>
      </c>
      <c r="C9">
        <v>6.5</v>
      </c>
      <c r="D9" t="str">
        <f t="shared" si="0"/>
        <v>2000/12/19 20:15:00</v>
      </c>
      <c r="F9" t="str">
        <v>2000/12/19 20:15:00</v>
      </c>
      <c r="G9">
        <f t="shared" si="1"/>
        <v>36879</v>
      </c>
    </row>
    <row r="10" spans="1:7">
      <c r="A10" s="1">
        <v>36894</v>
      </c>
      <c r="B10" t="str">
        <v>#N/A N/A</v>
      </c>
      <c r="C10">
        <v>6</v>
      </c>
      <c r="D10" t="str">
        <f t="shared" si="0"/>
        <v>2001/01/03 19:15:00</v>
      </c>
      <c r="F10" t="str">
        <v>2001/01/03 19:15:00</v>
      </c>
      <c r="G10">
        <f t="shared" si="1"/>
        <v>36894</v>
      </c>
    </row>
    <row r="11" spans="1:7">
      <c r="A11" s="1">
        <v>36922</v>
      </c>
      <c r="B11">
        <v>5.5</v>
      </c>
      <c r="C11">
        <v>5.5</v>
      </c>
      <c r="D11" t="str">
        <f t="shared" si="0"/>
        <v>2001/01/31 20:15:00</v>
      </c>
      <c r="F11" t="str">
        <v>2001/01/31 20:15:00</v>
      </c>
      <c r="G11">
        <f t="shared" si="1"/>
        <v>36922</v>
      </c>
    </row>
    <row r="12" spans="1:7">
      <c r="A12" s="1">
        <v>36970</v>
      </c>
      <c r="B12">
        <v>5</v>
      </c>
      <c r="C12">
        <v>5</v>
      </c>
      <c r="D12" t="str">
        <f t="shared" si="0"/>
        <v>2001/03/20 20:15:00</v>
      </c>
      <c r="F12" t="str">
        <v>2001/03/20 20:15:00</v>
      </c>
      <c r="G12">
        <f t="shared" si="1"/>
        <v>36970</v>
      </c>
    </row>
    <row r="13" spans="1:7">
      <c r="A13" s="1">
        <v>36999</v>
      </c>
      <c r="B13" t="str">
        <v>#N/A N/A</v>
      </c>
      <c r="C13">
        <v>4.5</v>
      </c>
      <c r="D13" t="str">
        <f t="shared" si="0"/>
        <v>2001/04/18 16:55:00</v>
      </c>
      <c r="F13" t="str">
        <v>2001/04/18 16:55:00</v>
      </c>
      <c r="G13">
        <f t="shared" si="1"/>
        <v>36999</v>
      </c>
    </row>
    <row r="14" spans="1:7">
      <c r="A14" s="1">
        <v>37026</v>
      </c>
      <c r="B14">
        <v>4</v>
      </c>
      <c r="C14">
        <v>4</v>
      </c>
      <c r="D14" t="str">
        <f t="shared" si="0"/>
        <v>2001/05/15 20:15:00</v>
      </c>
      <c r="F14" t="str">
        <v>2001/05/15 20:15:00</v>
      </c>
      <c r="G14">
        <f t="shared" si="1"/>
        <v>37026</v>
      </c>
    </row>
    <row r="15" spans="1:7">
      <c r="A15" s="1">
        <v>37069</v>
      </c>
      <c r="B15">
        <v>3.5</v>
      </c>
      <c r="C15">
        <v>3.75</v>
      </c>
      <c r="D15" t="str">
        <f t="shared" si="0"/>
        <v>2001/06/27 20:12:00</v>
      </c>
      <c r="F15" t="str">
        <v>2001/06/27 20:12:00</v>
      </c>
      <c r="G15">
        <f t="shared" si="1"/>
        <v>37069</v>
      </c>
    </row>
    <row r="16" spans="1:7">
      <c r="A16" s="1">
        <v>37124</v>
      </c>
      <c r="B16">
        <v>3.5</v>
      </c>
      <c r="C16">
        <v>3.5</v>
      </c>
      <c r="D16" t="str">
        <f t="shared" si="0"/>
        <v>2001/08/21 20:15:00</v>
      </c>
      <c r="F16" t="str">
        <v>2001/08/21 20:15:00</v>
      </c>
      <c r="G16">
        <f t="shared" si="1"/>
        <v>37124</v>
      </c>
    </row>
    <row r="17" spans="1:7">
      <c r="A17" s="1">
        <v>37151</v>
      </c>
      <c r="B17" t="str">
        <v>#N/A N/A</v>
      </c>
      <c r="C17">
        <v>3</v>
      </c>
      <c r="D17" t="str">
        <f t="shared" si="0"/>
        <v>2001/09/17 14:20:00</v>
      </c>
      <c r="F17" t="str">
        <v>2001/09/17 14:20:00</v>
      </c>
      <c r="G17">
        <f t="shared" si="1"/>
        <v>37151</v>
      </c>
    </row>
    <row r="18" spans="1:7">
      <c r="A18" s="1">
        <v>37166</v>
      </c>
      <c r="B18">
        <v>2.5</v>
      </c>
      <c r="C18">
        <v>2.5</v>
      </c>
      <c r="D18" t="str">
        <f t="shared" si="0"/>
        <v>2001/10/02 20:15:00</v>
      </c>
      <c r="F18" t="str">
        <v>2001/10/02 20:15:00</v>
      </c>
      <c r="G18">
        <f t="shared" si="1"/>
        <v>37166</v>
      </c>
    </row>
    <row r="19" spans="1:7">
      <c r="A19" s="1">
        <v>37201</v>
      </c>
      <c r="B19">
        <v>2</v>
      </c>
      <c r="C19">
        <v>2</v>
      </c>
      <c r="D19" t="str">
        <f t="shared" si="0"/>
        <v>2001/11/06 20:20:00</v>
      </c>
      <c r="F19" t="str">
        <v>2001/11/06 20:20:00</v>
      </c>
      <c r="G19">
        <f t="shared" si="1"/>
        <v>37201</v>
      </c>
    </row>
    <row r="20" spans="1:7">
      <c r="A20" s="1">
        <v>37236</v>
      </c>
      <c r="B20">
        <v>1.75</v>
      </c>
      <c r="C20">
        <v>1.75</v>
      </c>
      <c r="D20" t="str">
        <f t="shared" si="0"/>
        <v>2001/12/11 20:14:00</v>
      </c>
      <c r="F20" t="str">
        <v>2001/12/11 20:14:00</v>
      </c>
      <c r="G20">
        <f t="shared" si="1"/>
        <v>37236</v>
      </c>
    </row>
    <row r="21" spans="1:7">
      <c r="A21" s="1">
        <v>37286</v>
      </c>
      <c r="B21">
        <v>1.75</v>
      </c>
      <c r="C21">
        <v>1.75</v>
      </c>
      <c r="D21" t="str">
        <f t="shared" si="0"/>
        <v>2002/01/30 20:15:00</v>
      </c>
      <c r="F21" t="str">
        <v>2002/01/30 20:15:00</v>
      </c>
      <c r="G21">
        <f t="shared" si="1"/>
        <v>37286</v>
      </c>
    </row>
    <row r="22" spans="1:7">
      <c r="A22" s="1">
        <v>37334</v>
      </c>
      <c r="B22">
        <v>1.75</v>
      </c>
      <c r="C22">
        <v>1.75</v>
      </c>
      <c r="D22" t="str">
        <f t="shared" si="0"/>
        <v>2002/03/19 20:15:00</v>
      </c>
      <c r="F22" t="str">
        <v>2002/03/19 20:15:00</v>
      </c>
      <c r="G22">
        <f t="shared" si="1"/>
        <v>37334</v>
      </c>
    </row>
    <row r="23" spans="1:7">
      <c r="A23" s="1">
        <v>37383</v>
      </c>
      <c r="B23">
        <v>1.75</v>
      </c>
      <c r="C23">
        <v>1.75</v>
      </c>
      <c r="D23" t="str">
        <f t="shared" si="0"/>
        <v>2002/05/07 20:15:00</v>
      </c>
      <c r="F23" t="str">
        <v>2002/05/07 20:15:00</v>
      </c>
      <c r="G23">
        <f t="shared" si="1"/>
        <v>37383</v>
      </c>
    </row>
    <row r="24" spans="1:7">
      <c r="A24" s="1">
        <v>37433</v>
      </c>
      <c r="B24">
        <v>1.75</v>
      </c>
      <c r="C24">
        <v>1.75</v>
      </c>
      <c r="D24" t="str">
        <f t="shared" si="0"/>
        <v>2002/06/26 20:15:00</v>
      </c>
      <c r="F24" t="str">
        <v>2002/06/26 20:15:00</v>
      </c>
      <c r="G24">
        <f t="shared" si="1"/>
        <v>37433</v>
      </c>
    </row>
    <row r="25" spans="1:7">
      <c r="A25" s="1">
        <v>37481</v>
      </c>
      <c r="B25">
        <v>1.75</v>
      </c>
      <c r="C25">
        <v>1.75</v>
      </c>
      <c r="D25" t="str">
        <f t="shared" si="0"/>
        <v>2002/08/13 20:15:00</v>
      </c>
      <c r="F25" t="str">
        <v>2002/08/13 20:15:00</v>
      </c>
      <c r="G25">
        <f t="shared" si="1"/>
        <v>37481</v>
      </c>
    </row>
    <row r="26" spans="1:7">
      <c r="A26" s="1">
        <v>37523</v>
      </c>
      <c r="B26">
        <v>1.75</v>
      </c>
      <c r="C26">
        <v>1.75</v>
      </c>
      <c r="D26" t="str">
        <f t="shared" si="0"/>
        <v>2002/09/24 20:15:00</v>
      </c>
      <c r="F26" t="str">
        <v>2002/09/24 20:15:00</v>
      </c>
      <c r="G26">
        <f t="shared" si="1"/>
        <v>37523</v>
      </c>
    </row>
    <row r="27" spans="1:7">
      <c r="A27" s="1">
        <v>37566</v>
      </c>
      <c r="B27">
        <v>1.5</v>
      </c>
      <c r="C27">
        <v>1.25</v>
      </c>
      <c r="D27" t="str">
        <f t="shared" si="0"/>
        <v>2002/11/06 20:14:00</v>
      </c>
      <c r="F27" t="str">
        <v>2002/11/06 20:14:00</v>
      </c>
      <c r="G27">
        <f t="shared" si="1"/>
        <v>37566</v>
      </c>
    </row>
    <row r="28" spans="1:7">
      <c r="A28" s="1">
        <v>37600</v>
      </c>
      <c r="B28">
        <v>1.25</v>
      </c>
      <c r="C28">
        <v>1.25</v>
      </c>
      <c r="D28" t="str">
        <f t="shared" si="0"/>
        <v>2002/12/10 20:15:00</v>
      </c>
      <c r="F28" t="str">
        <v>2002/12/10 20:15:00</v>
      </c>
      <c r="G28">
        <f t="shared" si="1"/>
        <v>37600</v>
      </c>
    </row>
    <row r="29" spans="1:7">
      <c r="A29" s="1">
        <v>37650</v>
      </c>
      <c r="B29">
        <v>1.25</v>
      </c>
      <c r="C29">
        <v>1.25</v>
      </c>
      <c r="D29" t="str">
        <f t="shared" si="0"/>
        <v>2003/01/29 20:16:00</v>
      </c>
      <c r="F29" t="str">
        <v>2003/01/29 20:16:00</v>
      </c>
      <c r="G29">
        <f t="shared" si="1"/>
        <v>37650</v>
      </c>
    </row>
    <row r="30" spans="1:7">
      <c r="A30" s="1">
        <v>37698</v>
      </c>
      <c r="B30">
        <v>1.25</v>
      </c>
      <c r="C30">
        <v>1.25</v>
      </c>
      <c r="D30" t="str">
        <f t="shared" si="0"/>
        <v>2003/03/18 20:15:00</v>
      </c>
      <c r="F30" t="str">
        <v>2003/03/18 20:15:00</v>
      </c>
      <c r="G30">
        <f t="shared" si="1"/>
        <v>37698</v>
      </c>
    </row>
    <row r="31" spans="1:7">
      <c r="A31" s="1">
        <v>37747</v>
      </c>
      <c r="B31">
        <v>1.25</v>
      </c>
      <c r="C31">
        <v>1.25</v>
      </c>
      <c r="D31" t="str">
        <f t="shared" si="0"/>
        <v>2003/05/06 20:13:00</v>
      </c>
      <c r="F31" t="str">
        <v>2003/05/06 20:13:00</v>
      </c>
      <c r="G31">
        <f t="shared" si="1"/>
        <v>37747</v>
      </c>
    </row>
    <row r="32" spans="1:7">
      <c r="A32" s="1">
        <v>37797</v>
      </c>
      <c r="B32">
        <v>1</v>
      </c>
      <c r="C32">
        <v>1</v>
      </c>
      <c r="D32" t="str">
        <f t="shared" si="0"/>
        <v>2003/06/25 20:15:00</v>
      </c>
      <c r="F32" t="str">
        <v>2003/06/25 20:15:00</v>
      </c>
      <c r="G32">
        <f t="shared" si="1"/>
        <v>37797</v>
      </c>
    </row>
    <row r="33" spans="1:7">
      <c r="A33" s="1">
        <v>37845</v>
      </c>
      <c r="B33">
        <v>1</v>
      </c>
      <c r="C33">
        <v>1</v>
      </c>
      <c r="D33" t="str">
        <f t="shared" si="0"/>
        <v>2003/08/12 20:15:00</v>
      </c>
      <c r="F33" t="str">
        <v>2003/08/12 20:15:00</v>
      </c>
      <c r="G33">
        <f t="shared" si="1"/>
        <v>37845</v>
      </c>
    </row>
    <row r="34" spans="1:7">
      <c r="A34" s="1">
        <v>37880</v>
      </c>
      <c r="B34">
        <v>1</v>
      </c>
      <c r="C34">
        <v>1</v>
      </c>
      <c r="D34" t="str">
        <f t="shared" si="0"/>
        <v>2003/09/16 20:19:00</v>
      </c>
      <c r="F34" t="str">
        <v>2003/09/16 20:19:00</v>
      </c>
      <c r="G34">
        <f t="shared" si="1"/>
        <v>37880</v>
      </c>
    </row>
    <row r="35" spans="1:7">
      <c r="A35" s="1">
        <v>37922</v>
      </c>
      <c r="B35">
        <v>1</v>
      </c>
      <c r="C35">
        <v>1</v>
      </c>
      <c r="D35" t="str">
        <f t="shared" si="0"/>
        <v>2003/10/28 20:15:00</v>
      </c>
      <c r="F35" t="str">
        <v>2003/10/28 20:15:00</v>
      </c>
      <c r="G35">
        <f t="shared" si="1"/>
        <v>37922</v>
      </c>
    </row>
    <row r="36" spans="1:7">
      <c r="A36" s="1">
        <v>37964</v>
      </c>
      <c r="B36">
        <v>1</v>
      </c>
      <c r="C36">
        <v>1</v>
      </c>
      <c r="D36" t="str">
        <f t="shared" si="0"/>
        <v>2003/12/09 20:15:00</v>
      </c>
      <c r="F36" t="str">
        <v>2003/12/09 20:15:00</v>
      </c>
      <c r="G36">
        <f t="shared" si="1"/>
        <v>37964</v>
      </c>
    </row>
    <row r="37" spans="1:7">
      <c r="A37" s="1">
        <v>38014</v>
      </c>
      <c r="B37">
        <v>1</v>
      </c>
      <c r="C37">
        <v>1</v>
      </c>
      <c r="D37" t="str">
        <f t="shared" si="0"/>
        <v>2004/01/28 20:15:00</v>
      </c>
      <c r="F37" t="str">
        <v>2004/01/28 20:15:00</v>
      </c>
      <c r="G37">
        <f t="shared" si="1"/>
        <v>38014</v>
      </c>
    </row>
    <row r="38" spans="1:7">
      <c r="A38" s="1">
        <v>38062</v>
      </c>
      <c r="B38">
        <v>1</v>
      </c>
      <c r="C38">
        <v>1</v>
      </c>
      <c r="D38" t="str">
        <f t="shared" si="0"/>
        <v>2004/03/16 20:15:00</v>
      </c>
      <c r="F38" t="str">
        <v>2004/03/16 20:15:00</v>
      </c>
      <c r="G38">
        <f t="shared" si="1"/>
        <v>38062</v>
      </c>
    </row>
    <row r="39" spans="1:7">
      <c r="A39" s="1">
        <v>38111</v>
      </c>
      <c r="B39">
        <v>1</v>
      </c>
      <c r="C39">
        <v>1</v>
      </c>
      <c r="D39" t="str">
        <f t="shared" si="0"/>
        <v>2004/05/04 20:15:00</v>
      </c>
      <c r="F39" t="str">
        <v>2004/05/04 20:15:00</v>
      </c>
      <c r="G39">
        <f t="shared" si="1"/>
        <v>38111</v>
      </c>
    </row>
    <row r="40" spans="1:7">
      <c r="A40" s="1">
        <v>38168</v>
      </c>
      <c r="B40">
        <v>1.25</v>
      </c>
      <c r="C40">
        <v>1.25</v>
      </c>
      <c r="D40" t="str">
        <f t="shared" si="0"/>
        <v>2004/06/30 20:15:00</v>
      </c>
      <c r="F40" t="str">
        <v>2004/06/30 20:15:00</v>
      </c>
      <c r="G40">
        <f t="shared" si="1"/>
        <v>38168</v>
      </c>
    </row>
    <row r="41" spans="1:7">
      <c r="A41" s="1">
        <v>38209</v>
      </c>
      <c r="B41">
        <v>1.5</v>
      </c>
      <c r="C41">
        <v>1.5</v>
      </c>
      <c r="D41" t="str">
        <f t="shared" si="0"/>
        <v>2004/08/10 20:15:00</v>
      </c>
      <c r="F41" t="str">
        <v>2004/08/10 20:15:00</v>
      </c>
      <c r="G41">
        <f t="shared" si="1"/>
        <v>38209</v>
      </c>
    </row>
    <row r="42" spans="1:7">
      <c r="A42" s="1">
        <v>38251</v>
      </c>
      <c r="B42">
        <v>1.75</v>
      </c>
      <c r="C42">
        <v>1.75</v>
      </c>
      <c r="D42" t="str">
        <f t="shared" si="0"/>
        <v>2004/09/21 20:15:00</v>
      </c>
      <c r="F42" t="str">
        <v>2004/09/21 20:15:00</v>
      </c>
      <c r="G42">
        <f t="shared" si="1"/>
        <v>38251</v>
      </c>
    </row>
    <row r="43" spans="1:7">
      <c r="A43" s="1">
        <v>38301</v>
      </c>
      <c r="B43">
        <v>2</v>
      </c>
      <c r="C43">
        <v>2</v>
      </c>
      <c r="D43" t="str">
        <f t="shared" si="0"/>
        <v>2004/11/10 20:15:00</v>
      </c>
      <c r="F43" t="str">
        <v>2004/11/10 20:15:00</v>
      </c>
      <c r="G43">
        <f t="shared" si="1"/>
        <v>38301</v>
      </c>
    </row>
    <row r="44" spans="1:7">
      <c r="A44" s="1">
        <v>38335</v>
      </c>
      <c r="B44">
        <v>2.25</v>
      </c>
      <c r="C44">
        <v>2.25</v>
      </c>
      <c r="D44" t="str">
        <f t="shared" si="0"/>
        <v>2004/12/14 20:15:00</v>
      </c>
      <c r="F44" t="str">
        <v>2004/12/14 20:15:00</v>
      </c>
      <c r="G44">
        <f t="shared" si="1"/>
        <v>38335</v>
      </c>
    </row>
    <row r="45" spans="1:7">
      <c r="A45" s="1">
        <v>38385</v>
      </c>
      <c r="B45">
        <v>2.5</v>
      </c>
      <c r="C45">
        <v>2.5</v>
      </c>
      <c r="D45" t="str">
        <f t="shared" si="0"/>
        <v>2005/02/02 20:15:00</v>
      </c>
      <c r="F45" t="str">
        <v>2005/02/02 20:15:00</v>
      </c>
      <c r="G45">
        <f t="shared" si="1"/>
        <v>38385</v>
      </c>
    </row>
    <row r="46" spans="1:7">
      <c r="A46" s="1">
        <v>38433</v>
      </c>
      <c r="B46">
        <v>2.75</v>
      </c>
      <c r="C46">
        <v>2.75</v>
      </c>
      <c r="D46" t="str">
        <f t="shared" si="0"/>
        <v>2005/03/22 20:15:00</v>
      </c>
      <c r="F46" t="str">
        <v>2005/03/22 20:15:00</v>
      </c>
      <c r="G46">
        <f t="shared" si="1"/>
        <v>38433</v>
      </c>
    </row>
    <row r="47" spans="1:7">
      <c r="A47" s="1">
        <v>38475</v>
      </c>
      <c r="B47">
        <v>3</v>
      </c>
      <c r="C47">
        <v>3</v>
      </c>
      <c r="D47" t="str">
        <f t="shared" si="0"/>
        <v>2005/05/03 20:15:00</v>
      </c>
      <c r="F47" t="str">
        <v>2005/05/03 20:15:00</v>
      </c>
      <c r="G47">
        <f t="shared" si="1"/>
        <v>38475</v>
      </c>
    </row>
    <row r="48" spans="1:7">
      <c r="A48" s="1">
        <v>38533</v>
      </c>
      <c r="B48">
        <v>3.25</v>
      </c>
      <c r="C48">
        <v>3.25</v>
      </c>
      <c r="D48" t="str">
        <f t="shared" si="0"/>
        <v>2005/06/30 20:15:00</v>
      </c>
      <c r="F48" t="str">
        <v>2005/06/30 20:15:00</v>
      </c>
      <c r="G48">
        <f t="shared" si="1"/>
        <v>38533</v>
      </c>
    </row>
    <row r="49" spans="1:7">
      <c r="A49" s="1">
        <v>38573</v>
      </c>
      <c r="B49">
        <v>3.5</v>
      </c>
      <c r="C49">
        <v>3.5</v>
      </c>
      <c r="D49" t="str">
        <f t="shared" si="0"/>
        <v>2005/08/09 20:15:00</v>
      </c>
      <c r="F49" t="str">
        <v>2005/08/09 20:15:00</v>
      </c>
      <c r="G49">
        <f t="shared" si="1"/>
        <v>38573</v>
      </c>
    </row>
    <row r="50" spans="1:7">
      <c r="A50" s="1">
        <v>38615</v>
      </c>
      <c r="B50">
        <v>3.75</v>
      </c>
      <c r="C50">
        <v>3.75</v>
      </c>
      <c r="D50" t="str">
        <f t="shared" si="0"/>
        <v>2005/09/20 20:15:00</v>
      </c>
      <c r="F50" t="str">
        <v>2005/09/20 20:15:00</v>
      </c>
      <c r="G50">
        <f t="shared" si="1"/>
        <v>38615</v>
      </c>
    </row>
    <row r="51" spans="1:7">
      <c r="A51" s="1">
        <v>38657</v>
      </c>
      <c r="B51">
        <v>4</v>
      </c>
      <c r="C51">
        <v>4</v>
      </c>
      <c r="D51" t="str">
        <f t="shared" si="0"/>
        <v>2005/11/01 20:15:00</v>
      </c>
      <c r="F51" t="str">
        <v>2005/11/01 20:15:00</v>
      </c>
      <c r="G51">
        <f t="shared" si="1"/>
        <v>38657</v>
      </c>
    </row>
    <row r="52" spans="1:7">
      <c r="A52" s="1">
        <v>38699</v>
      </c>
      <c r="B52">
        <v>4.25</v>
      </c>
      <c r="C52">
        <v>4.25</v>
      </c>
      <c r="D52" t="str">
        <f t="shared" si="0"/>
        <v>2005/12/13 20:15:00</v>
      </c>
      <c r="F52" t="str">
        <v>2005/12/13 20:15:00</v>
      </c>
      <c r="G52">
        <f t="shared" si="1"/>
        <v>38699</v>
      </c>
    </row>
    <row r="53" spans="1:7">
      <c r="A53" s="1">
        <v>38748</v>
      </c>
      <c r="B53">
        <v>4.5</v>
      </c>
      <c r="C53">
        <v>4.5</v>
      </c>
      <c r="D53" t="str">
        <f t="shared" si="0"/>
        <v>2006/01/31 20:14:00</v>
      </c>
      <c r="F53" t="str">
        <v>2006/01/31 20:14:00</v>
      </c>
      <c r="G53">
        <f t="shared" si="1"/>
        <v>38748</v>
      </c>
    </row>
    <row r="54" spans="1:7">
      <c r="A54" s="1">
        <v>38804</v>
      </c>
      <c r="B54">
        <v>4.75</v>
      </c>
      <c r="C54">
        <v>4.75</v>
      </c>
      <c r="D54" t="str">
        <f t="shared" si="0"/>
        <v>2006/03/28 21:15:00</v>
      </c>
      <c r="F54" t="str">
        <v>2006/03/28 21:15:00</v>
      </c>
      <c r="G54">
        <f t="shared" si="1"/>
        <v>38804</v>
      </c>
    </row>
    <row r="55" spans="1:7">
      <c r="A55" s="1">
        <v>38847</v>
      </c>
      <c r="B55">
        <v>5</v>
      </c>
      <c r="C55">
        <v>5</v>
      </c>
      <c r="D55" t="str">
        <f t="shared" si="0"/>
        <v>2006/05/10 20:15:00</v>
      </c>
      <c r="F55" t="str">
        <v>2006/05/10 20:15:00</v>
      </c>
      <c r="G55">
        <f t="shared" si="1"/>
        <v>38847</v>
      </c>
    </row>
    <row r="56" spans="1:7">
      <c r="A56" s="1">
        <v>38897</v>
      </c>
      <c r="B56">
        <v>5.25</v>
      </c>
      <c r="C56">
        <v>5.25</v>
      </c>
      <c r="D56" t="str">
        <f t="shared" si="0"/>
        <v>2006/06/29 20:15:00</v>
      </c>
      <c r="F56" t="str">
        <v>2006/06/29 20:15:00</v>
      </c>
      <c r="G56">
        <f t="shared" si="1"/>
        <v>38897</v>
      </c>
    </row>
    <row r="57" spans="1:7">
      <c r="A57" s="1">
        <v>38937</v>
      </c>
      <c r="B57">
        <v>5.25</v>
      </c>
      <c r="C57">
        <v>5.25</v>
      </c>
      <c r="D57" t="str">
        <f t="shared" si="0"/>
        <v>2006/08/08 20:15:00</v>
      </c>
      <c r="F57" t="str">
        <v>2006/08/08 20:15:00</v>
      </c>
      <c r="G57">
        <f t="shared" si="1"/>
        <v>38937</v>
      </c>
    </row>
    <row r="58" spans="1:7">
      <c r="A58" s="1">
        <v>38980</v>
      </c>
      <c r="B58">
        <v>5.25</v>
      </c>
      <c r="C58">
        <v>5.25</v>
      </c>
      <c r="D58" t="str">
        <f t="shared" si="0"/>
        <v>2006/09/20 20:15:00</v>
      </c>
      <c r="F58" t="str">
        <v>2006/09/20 20:15:00</v>
      </c>
      <c r="G58">
        <f t="shared" si="1"/>
        <v>38980</v>
      </c>
    </row>
    <row r="59" spans="1:7">
      <c r="A59" s="1">
        <v>39015</v>
      </c>
      <c r="B59">
        <v>5.25</v>
      </c>
      <c r="C59">
        <v>5.25</v>
      </c>
      <c r="D59" t="str">
        <f t="shared" si="0"/>
        <v>2006/10/25 20:15:00</v>
      </c>
      <c r="F59" t="str">
        <v>2006/10/25 20:15:00</v>
      </c>
      <c r="G59">
        <f t="shared" si="1"/>
        <v>39015</v>
      </c>
    </row>
    <row r="60" spans="1:7">
      <c r="A60" s="1">
        <v>39063</v>
      </c>
      <c r="B60">
        <v>5.25</v>
      </c>
      <c r="C60">
        <v>5.25</v>
      </c>
      <c r="D60" t="str">
        <f t="shared" si="0"/>
        <v>2006/12/12 20:15:00</v>
      </c>
      <c r="F60" t="str">
        <v>2006/12/12 20:15:00</v>
      </c>
      <c r="G60">
        <f t="shared" si="1"/>
        <v>39063</v>
      </c>
    </row>
    <row r="61" spans="1:7">
      <c r="A61" s="1">
        <v>39113</v>
      </c>
      <c r="B61">
        <v>5.25</v>
      </c>
      <c r="C61">
        <v>5.25</v>
      </c>
      <c r="D61" t="str">
        <f t="shared" si="0"/>
        <v>2007/01/31 20:15:00</v>
      </c>
      <c r="F61" t="str">
        <v>2007/01/31 20:15:00</v>
      </c>
      <c r="G61">
        <f t="shared" si="1"/>
        <v>39113</v>
      </c>
    </row>
    <row r="62" spans="1:7">
      <c r="A62" s="1">
        <v>39162</v>
      </c>
      <c r="B62">
        <v>5.25</v>
      </c>
      <c r="C62">
        <v>5.25</v>
      </c>
      <c r="D62" t="str">
        <f t="shared" si="0"/>
        <v>2007/03/21 19:15:00</v>
      </c>
      <c r="F62" t="str">
        <v>2007/03/21 19:15:00</v>
      </c>
      <c r="G62">
        <f t="shared" si="1"/>
        <v>39162</v>
      </c>
    </row>
    <row r="63" spans="1:7">
      <c r="A63" s="1">
        <v>39211</v>
      </c>
      <c r="B63">
        <v>5.25</v>
      </c>
      <c r="C63">
        <v>5.25</v>
      </c>
      <c r="D63" t="str">
        <f t="shared" si="0"/>
        <v>2007/05/09 20:15:00</v>
      </c>
      <c r="F63" t="str">
        <v>2007/05/09 20:15:00</v>
      </c>
      <c r="G63">
        <f t="shared" si="1"/>
        <v>39211</v>
      </c>
    </row>
    <row r="64" spans="1:7">
      <c r="A64" s="1">
        <v>39261</v>
      </c>
      <c r="B64">
        <v>5.25</v>
      </c>
      <c r="C64">
        <v>5.25</v>
      </c>
      <c r="D64" t="str">
        <f t="shared" si="0"/>
        <v>2007/06/28 20:15:00</v>
      </c>
      <c r="F64" t="str">
        <v>2007/06/28 20:15:00</v>
      </c>
      <c r="G64">
        <f t="shared" si="1"/>
        <v>39261</v>
      </c>
    </row>
    <row r="65" spans="1:7">
      <c r="A65" s="1">
        <v>39301</v>
      </c>
      <c r="B65">
        <v>5.25</v>
      </c>
      <c r="C65">
        <v>5.25</v>
      </c>
      <c r="D65" t="str">
        <f t="shared" si="0"/>
        <v>2007/08/07 20:15:00</v>
      </c>
      <c r="F65" t="str">
        <v>2007/08/07 20:15:00</v>
      </c>
      <c r="G65">
        <f t="shared" si="1"/>
        <v>39301</v>
      </c>
    </row>
    <row r="66" spans="1:7">
      <c r="A66" s="1">
        <v>39343</v>
      </c>
      <c r="B66">
        <v>5</v>
      </c>
      <c r="C66">
        <v>4.75</v>
      </c>
      <c r="D66" t="str">
        <f t="shared" si="0"/>
        <v>2007/09/18 20:15:00</v>
      </c>
      <c r="F66" t="str">
        <v>2007/09/18 20:15:00</v>
      </c>
      <c r="G66">
        <f t="shared" si="1"/>
        <v>39343</v>
      </c>
    </row>
    <row r="67" spans="1:7">
      <c r="A67" s="1">
        <v>39386</v>
      </c>
      <c r="B67">
        <v>4.5</v>
      </c>
      <c r="C67">
        <v>4.5</v>
      </c>
      <c r="D67" t="str">
        <f t="shared" ref="D67:D130" si="2">_xlfn.XLOOKUP(A67,$G:$G,$F:$F,"")</f>
        <v>2007/10/31 19:15:00</v>
      </c>
      <c r="F67" t="str">
        <v>2007/10/31 19:15:00</v>
      </c>
      <c r="G67">
        <f t="shared" ref="G67:G130" si="3">INT(F67)</f>
        <v>39386</v>
      </c>
    </row>
    <row r="68" spans="1:7">
      <c r="A68" s="1">
        <v>39427</v>
      </c>
      <c r="B68">
        <v>4.25</v>
      </c>
      <c r="C68">
        <v>4.25</v>
      </c>
      <c r="D68" t="str">
        <f t="shared" si="2"/>
        <v>2007/12/11 20:15:00</v>
      </c>
      <c r="F68" t="str">
        <v>2007/12/11 20:15:00</v>
      </c>
      <c r="G68">
        <f t="shared" si="3"/>
        <v>39427</v>
      </c>
    </row>
    <row r="69" spans="1:7">
      <c r="A69" s="1">
        <v>39469</v>
      </c>
      <c r="B69" t="str">
        <v>#N/A N/A</v>
      </c>
      <c r="C69">
        <v>3.5</v>
      </c>
      <c r="D69" t="str">
        <f t="shared" si="2"/>
        <v>2008/01/22 14:20:00</v>
      </c>
      <c r="F69" t="str">
        <v>2008/01/22 14:20:00</v>
      </c>
      <c r="G69">
        <f t="shared" si="3"/>
        <v>39469</v>
      </c>
    </row>
    <row r="70" spans="1:7">
      <c r="A70" s="1">
        <v>39477</v>
      </c>
      <c r="B70">
        <v>3</v>
      </c>
      <c r="C70">
        <v>3</v>
      </c>
      <c r="D70" t="str">
        <f t="shared" si="2"/>
        <v>2008/01/30 20:15:00</v>
      </c>
      <c r="F70" t="str">
        <v>2008/01/30 20:15:00</v>
      </c>
      <c r="G70">
        <f t="shared" si="3"/>
        <v>39477</v>
      </c>
    </row>
    <row r="71" spans="1:7">
      <c r="A71" s="1">
        <v>39525</v>
      </c>
      <c r="B71">
        <v>2.25</v>
      </c>
      <c r="C71">
        <v>2.25</v>
      </c>
      <c r="D71" t="str">
        <f t="shared" si="2"/>
        <v>2008/03/18 19:15:00</v>
      </c>
      <c r="F71" t="str">
        <v>2008/03/18 19:15:00</v>
      </c>
      <c r="G71">
        <f t="shared" si="3"/>
        <v>39525</v>
      </c>
    </row>
    <row r="72" spans="1:7">
      <c r="A72" s="1">
        <v>39568</v>
      </c>
      <c r="B72">
        <v>2</v>
      </c>
      <c r="C72">
        <v>2</v>
      </c>
      <c r="D72" t="str">
        <f t="shared" si="2"/>
        <v>2008/04/30 20:15:00</v>
      </c>
      <c r="F72" t="str">
        <v>2008/04/30 20:15:00</v>
      </c>
      <c r="G72">
        <f t="shared" si="3"/>
        <v>39568</v>
      </c>
    </row>
    <row r="73" spans="1:7">
      <c r="A73" s="1">
        <v>39624</v>
      </c>
      <c r="B73">
        <v>2</v>
      </c>
      <c r="C73">
        <v>2</v>
      </c>
      <c r="D73" t="str">
        <f t="shared" si="2"/>
        <v>2008/06/25 20:15:00</v>
      </c>
      <c r="F73" t="str">
        <v>2008/06/25 20:15:00</v>
      </c>
      <c r="G73">
        <f t="shared" si="3"/>
        <v>39624</v>
      </c>
    </row>
    <row r="74" spans="1:7">
      <c r="A74" s="1">
        <v>39665</v>
      </c>
      <c r="B74">
        <v>2</v>
      </c>
      <c r="C74">
        <v>2</v>
      </c>
      <c r="D74" t="str">
        <f t="shared" si="2"/>
        <v>2008/08/05 20:15:00</v>
      </c>
      <c r="F74" t="str">
        <v>2008/08/05 20:15:00</v>
      </c>
      <c r="G74">
        <f t="shared" si="3"/>
        <v>39665</v>
      </c>
    </row>
    <row r="75" spans="1:7">
      <c r="A75" s="1">
        <v>39707</v>
      </c>
      <c r="B75">
        <v>2</v>
      </c>
      <c r="C75">
        <v>2</v>
      </c>
      <c r="D75" t="str">
        <f t="shared" si="2"/>
        <v>2008/09/16 20:15:00</v>
      </c>
      <c r="F75" t="str">
        <v>2008/09/16 20:15:00</v>
      </c>
      <c r="G75">
        <f t="shared" si="3"/>
        <v>39707</v>
      </c>
    </row>
    <row r="76" spans="1:7">
      <c r="A76" s="1">
        <v>39729</v>
      </c>
      <c r="B76" t="str">
        <v>#N/A N/A</v>
      </c>
      <c r="C76">
        <v>1.5</v>
      </c>
      <c r="D76" t="str">
        <f t="shared" si="2"/>
        <v>2008/10/08 13:00:00</v>
      </c>
      <c r="F76" t="str">
        <v>2008/10/08 13:00:00</v>
      </c>
      <c r="G76">
        <f t="shared" si="3"/>
        <v>39729</v>
      </c>
    </row>
    <row r="77" spans="1:7">
      <c r="A77" s="1">
        <v>39750</v>
      </c>
      <c r="B77">
        <v>1</v>
      </c>
      <c r="C77">
        <v>1</v>
      </c>
      <c r="D77" t="str">
        <f t="shared" si="2"/>
        <v>2008/10/29 19:17:00</v>
      </c>
      <c r="F77" t="str">
        <v>2008/10/29 19:17:00</v>
      </c>
      <c r="G77">
        <f t="shared" si="3"/>
        <v>39750</v>
      </c>
    </row>
    <row r="78" spans="1:7">
      <c r="A78" s="1">
        <v>39798</v>
      </c>
      <c r="B78">
        <v>0.5</v>
      </c>
      <c r="C78">
        <v>0.25</v>
      </c>
      <c r="D78" t="str">
        <f t="shared" si="2"/>
        <v>2008/12/16 20:15:00</v>
      </c>
      <c r="F78" t="str">
        <v>2008/12/16 20:15:00</v>
      </c>
      <c r="G78">
        <f t="shared" si="3"/>
        <v>39798</v>
      </c>
    </row>
    <row r="79" spans="1:7">
      <c r="A79" s="1">
        <v>39841</v>
      </c>
      <c r="B79">
        <v>0.25</v>
      </c>
      <c r="C79">
        <v>0.25</v>
      </c>
      <c r="D79" t="str">
        <f t="shared" si="2"/>
        <v>2009/01/28 20:15:00</v>
      </c>
      <c r="F79" t="str">
        <v>2009/01/28 20:15:00</v>
      </c>
      <c r="G79">
        <f t="shared" si="3"/>
        <v>39841</v>
      </c>
    </row>
    <row r="80" spans="1:7">
      <c r="A80" s="1">
        <v>39890</v>
      </c>
      <c r="B80">
        <v>0.25</v>
      </c>
      <c r="C80">
        <v>0.25</v>
      </c>
      <c r="D80" t="str">
        <f t="shared" si="2"/>
        <v>2009/03/18 19:15:00</v>
      </c>
      <c r="F80" t="str">
        <v>2009/03/18 19:15:00</v>
      </c>
      <c r="G80">
        <f t="shared" si="3"/>
        <v>39890</v>
      </c>
    </row>
    <row r="81" spans="1:7">
      <c r="A81" s="1">
        <v>39932</v>
      </c>
      <c r="B81">
        <v>0.13</v>
      </c>
      <c r="C81">
        <v>0.25</v>
      </c>
      <c r="D81" t="str">
        <f t="shared" si="2"/>
        <v>2009/04/29 20:15:00</v>
      </c>
      <c r="F81" t="str">
        <v>2009/04/29 20:15:00</v>
      </c>
      <c r="G81">
        <f t="shared" si="3"/>
        <v>39932</v>
      </c>
    </row>
    <row r="82" spans="1:7">
      <c r="A82" s="1">
        <v>39988</v>
      </c>
      <c r="B82">
        <v>0.25</v>
      </c>
      <c r="C82">
        <v>0.25</v>
      </c>
      <c r="D82" t="str">
        <f t="shared" si="2"/>
        <v>2009/06/24 20:15:00</v>
      </c>
      <c r="F82" t="str">
        <v>2009/06/24 20:15:00</v>
      </c>
      <c r="G82">
        <f t="shared" si="3"/>
        <v>39988</v>
      </c>
    </row>
    <row r="83" spans="1:7">
      <c r="A83" s="1">
        <v>40037</v>
      </c>
      <c r="B83">
        <v>0.25</v>
      </c>
      <c r="C83">
        <v>0.25</v>
      </c>
      <c r="D83" t="str">
        <f t="shared" si="2"/>
        <v>2009/08/12 20:15:00</v>
      </c>
      <c r="F83" t="str">
        <v>2009/08/12 20:15:00</v>
      </c>
      <c r="G83">
        <f t="shared" si="3"/>
        <v>40037</v>
      </c>
    </row>
    <row r="84" spans="1:7">
      <c r="A84" s="1">
        <v>40079</v>
      </c>
      <c r="B84">
        <v>0.25</v>
      </c>
      <c r="C84">
        <v>0.25</v>
      </c>
      <c r="D84" t="str">
        <f t="shared" si="2"/>
        <v>2009/09/23 20:15:00</v>
      </c>
      <c r="F84" t="str">
        <v>2009/09/23 20:15:00</v>
      </c>
      <c r="G84">
        <f t="shared" si="3"/>
        <v>40079</v>
      </c>
    </row>
    <row r="85" spans="1:7">
      <c r="A85" s="1">
        <v>40121</v>
      </c>
      <c r="B85">
        <v>0.25</v>
      </c>
      <c r="C85">
        <v>0.25</v>
      </c>
      <c r="D85" t="str">
        <f t="shared" si="2"/>
        <v>2009/11/04 20:15:00</v>
      </c>
      <c r="F85" t="str">
        <v>2009/11/04 20:15:00</v>
      </c>
      <c r="G85">
        <f t="shared" si="3"/>
        <v>40121</v>
      </c>
    </row>
    <row r="86" spans="1:7">
      <c r="A86" s="1">
        <v>40163</v>
      </c>
      <c r="B86">
        <v>0.25</v>
      </c>
      <c r="C86">
        <v>0.25</v>
      </c>
      <c r="D86" t="str">
        <f t="shared" si="2"/>
        <v>2009/12/16 20:15:00</v>
      </c>
      <c r="F86" t="str">
        <v>2009/12/16 20:15:00</v>
      </c>
      <c r="G86">
        <f t="shared" si="3"/>
        <v>40163</v>
      </c>
    </row>
    <row r="87" spans="1:7">
      <c r="A87" s="1">
        <v>40205</v>
      </c>
      <c r="B87">
        <v>0.25</v>
      </c>
      <c r="C87">
        <v>0.25</v>
      </c>
      <c r="D87" t="str">
        <f t="shared" si="2"/>
        <v>2010/01/27 20:15:00</v>
      </c>
      <c r="F87" t="str">
        <v>2010/01/27 20:15:00</v>
      </c>
      <c r="G87">
        <f t="shared" si="3"/>
        <v>40205</v>
      </c>
    </row>
    <row r="88" spans="1:7">
      <c r="A88" s="1">
        <v>40253</v>
      </c>
      <c r="B88">
        <v>0.25</v>
      </c>
      <c r="C88">
        <v>0.25</v>
      </c>
      <c r="D88" t="str">
        <f t="shared" si="2"/>
        <v>2010/03/16 19:15:00</v>
      </c>
      <c r="F88" t="str">
        <v>2010/03/16 19:15:00</v>
      </c>
      <c r="G88">
        <f t="shared" si="3"/>
        <v>40253</v>
      </c>
    </row>
    <row r="89" spans="1:7">
      <c r="A89" s="1">
        <v>40296</v>
      </c>
      <c r="B89">
        <v>0.25</v>
      </c>
      <c r="C89">
        <v>0.25</v>
      </c>
      <c r="D89" t="str">
        <f t="shared" si="2"/>
        <v>2010/04/28 20:15:00</v>
      </c>
      <c r="F89" t="str">
        <v>2010/04/28 20:15:00</v>
      </c>
      <c r="G89">
        <f t="shared" si="3"/>
        <v>40296</v>
      </c>
    </row>
    <row r="90" spans="1:7">
      <c r="A90" s="1">
        <v>40352</v>
      </c>
      <c r="B90">
        <v>0.25</v>
      </c>
      <c r="C90">
        <v>0.25</v>
      </c>
      <c r="D90" t="str">
        <f t="shared" si="2"/>
        <v>2010/06/23 20:15:00</v>
      </c>
      <c r="F90" t="str">
        <v>2010/06/23 20:15:00</v>
      </c>
      <c r="G90">
        <f t="shared" si="3"/>
        <v>40352</v>
      </c>
    </row>
    <row r="91" spans="1:7">
      <c r="A91" s="1">
        <v>40400</v>
      </c>
      <c r="B91">
        <v>0.25</v>
      </c>
      <c r="C91">
        <v>0.25</v>
      </c>
      <c r="D91" t="str">
        <f t="shared" si="2"/>
        <v>2010/08/10 20:15:00</v>
      </c>
      <c r="F91" t="str">
        <v>2010/08/10 20:15:00</v>
      </c>
      <c r="G91">
        <f t="shared" si="3"/>
        <v>40400</v>
      </c>
    </row>
    <row r="92" spans="1:7">
      <c r="A92" s="1">
        <v>40442</v>
      </c>
      <c r="B92">
        <v>0.25</v>
      </c>
      <c r="C92">
        <v>0.25</v>
      </c>
      <c r="D92" t="str">
        <f t="shared" si="2"/>
        <v>2010/09/21 20:15:00</v>
      </c>
      <c r="F92" t="str">
        <v>2010/09/21 20:15:00</v>
      </c>
      <c r="G92">
        <f t="shared" si="3"/>
        <v>40442</v>
      </c>
    </row>
    <row r="93" spans="1:7">
      <c r="A93" s="1">
        <v>40485</v>
      </c>
      <c r="B93">
        <v>0.25</v>
      </c>
      <c r="C93">
        <v>0.25</v>
      </c>
      <c r="D93" t="str">
        <f t="shared" si="2"/>
        <v>2010/11/03 19:15:00</v>
      </c>
      <c r="F93" t="str">
        <v>2010/11/03 19:15:00</v>
      </c>
      <c r="G93">
        <f t="shared" si="3"/>
        <v>40485</v>
      </c>
    </row>
    <row r="94" spans="1:7">
      <c r="A94" s="1">
        <v>40526</v>
      </c>
      <c r="B94">
        <v>0.25</v>
      </c>
      <c r="C94">
        <v>0.25</v>
      </c>
      <c r="D94" t="str">
        <f t="shared" si="2"/>
        <v>2010/12/14 20:15:00</v>
      </c>
      <c r="F94" t="str">
        <v>2010/12/14 20:15:00</v>
      </c>
      <c r="G94">
        <f t="shared" si="3"/>
        <v>40526</v>
      </c>
    </row>
    <row r="95" spans="1:7">
      <c r="A95" s="1">
        <v>40569</v>
      </c>
      <c r="B95">
        <v>0.25</v>
      </c>
      <c r="C95">
        <v>0.25</v>
      </c>
      <c r="D95" t="str">
        <f t="shared" si="2"/>
        <v>2011/01/26 20:15:00</v>
      </c>
      <c r="F95" t="str">
        <v>2011/01/26 20:15:00</v>
      </c>
      <c r="G95">
        <f t="shared" si="3"/>
        <v>40569</v>
      </c>
    </row>
    <row r="96" spans="1:7">
      <c r="A96" s="1">
        <v>40617</v>
      </c>
      <c r="B96">
        <v>0.25</v>
      </c>
      <c r="C96">
        <v>0.25</v>
      </c>
      <c r="D96" t="str">
        <f t="shared" si="2"/>
        <v>2011/03/15 19:15:00</v>
      </c>
      <c r="F96" t="str">
        <v>2011/03/15 19:15:00</v>
      </c>
      <c r="G96">
        <f t="shared" si="3"/>
        <v>40617</v>
      </c>
    </row>
    <row r="97" spans="1:7">
      <c r="A97" s="1">
        <v>40660</v>
      </c>
      <c r="B97">
        <v>0.25</v>
      </c>
      <c r="C97">
        <v>0.25</v>
      </c>
      <c r="D97" t="str">
        <f t="shared" si="2"/>
        <v>2011/04/27 18:30:00</v>
      </c>
      <c r="F97" t="str">
        <v>2011/04/27 18:30:00</v>
      </c>
      <c r="G97">
        <f t="shared" si="3"/>
        <v>40660</v>
      </c>
    </row>
    <row r="98" spans="1:7">
      <c r="A98" s="1">
        <v>40716</v>
      </c>
      <c r="B98">
        <v>0.25</v>
      </c>
      <c r="C98">
        <v>0.25</v>
      </c>
      <c r="D98" t="str">
        <f t="shared" si="2"/>
        <v>2011/06/22 18:30:00</v>
      </c>
      <c r="F98" t="str">
        <v>2011/06/22 18:30:00</v>
      </c>
      <c r="G98">
        <f t="shared" si="3"/>
        <v>40716</v>
      </c>
    </row>
    <row r="99" spans="1:7">
      <c r="A99" s="1">
        <v>40764</v>
      </c>
      <c r="B99">
        <v>0.25</v>
      </c>
      <c r="C99">
        <v>0.25</v>
      </c>
      <c r="D99" t="str">
        <f t="shared" si="2"/>
        <v>2011/08/09 20:15:00</v>
      </c>
      <c r="F99" t="str">
        <v>2011/08/09 20:15:00</v>
      </c>
      <c r="G99">
        <f t="shared" si="3"/>
        <v>40764</v>
      </c>
    </row>
    <row r="100" spans="1:7">
      <c r="A100" s="1">
        <v>40807</v>
      </c>
      <c r="B100">
        <v>0.25</v>
      </c>
      <c r="C100">
        <v>0.25</v>
      </c>
      <c r="D100" t="str">
        <f t="shared" si="2"/>
        <v>2011/09/21 20:15:00</v>
      </c>
      <c r="F100" t="str">
        <v>2011/09/21 20:15:00</v>
      </c>
      <c r="G100">
        <f t="shared" si="3"/>
        <v>40807</v>
      </c>
    </row>
    <row r="101" spans="1:7">
      <c r="A101" s="1">
        <v>40849</v>
      </c>
      <c r="B101">
        <v>0.25</v>
      </c>
      <c r="C101">
        <v>0.25</v>
      </c>
      <c r="D101" t="str">
        <f t="shared" si="2"/>
        <v>2011/11/02 17:30:00</v>
      </c>
      <c r="F101" t="str">
        <v>2011/11/02 17:30:00</v>
      </c>
      <c r="G101">
        <f t="shared" si="3"/>
        <v>40849</v>
      </c>
    </row>
    <row r="102" spans="1:7">
      <c r="A102" s="1">
        <v>40890</v>
      </c>
      <c r="B102">
        <v>0.25</v>
      </c>
      <c r="C102">
        <v>0.25</v>
      </c>
      <c r="D102" t="str">
        <f t="shared" si="2"/>
        <v>2011/12/13 20:15:00</v>
      </c>
      <c r="F102" t="str">
        <v>2011/12/13 20:15:00</v>
      </c>
      <c r="G102">
        <f t="shared" si="3"/>
        <v>40890</v>
      </c>
    </row>
    <row r="103" spans="1:7">
      <c r="A103" s="1">
        <v>40933</v>
      </c>
      <c r="B103">
        <v>0.25</v>
      </c>
      <c r="C103">
        <v>0.25</v>
      </c>
      <c r="D103" t="str">
        <f t="shared" si="2"/>
        <v>2012/01/25 18:30:00</v>
      </c>
      <c r="F103" t="str">
        <v>2012/01/25 18:30:00</v>
      </c>
      <c r="G103">
        <f t="shared" si="3"/>
        <v>40933</v>
      </c>
    </row>
    <row r="104" spans="1:7">
      <c r="A104" s="1">
        <v>40981</v>
      </c>
      <c r="B104">
        <v>0.25</v>
      </c>
      <c r="C104">
        <v>0.25</v>
      </c>
      <c r="D104" t="str">
        <f t="shared" si="2"/>
        <v>2012/03/13 19:15:00</v>
      </c>
      <c r="F104" t="str">
        <v>2012/03/13 19:15:00</v>
      </c>
      <c r="G104">
        <f t="shared" si="3"/>
        <v>40981</v>
      </c>
    </row>
    <row r="105" spans="1:7">
      <c r="A105" s="1">
        <v>41024</v>
      </c>
      <c r="B105">
        <v>0.25</v>
      </c>
      <c r="C105">
        <v>0.25</v>
      </c>
      <c r="D105" t="str">
        <f t="shared" si="2"/>
        <v>2012/04/25 18:30:00</v>
      </c>
      <c r="F105" t="str">
        <v>2012/04/25 18:30:00</v>
      </c>
      <c r="G105">
        <f t="shared" si="3"/>
        <v>41024</v>
      </c>
    </row>
    <row r="106" spans="1:7">
      <c r="A106" s="1">
        <v>41080</v>
      </c>
      <c r="B106">
        <v>0.25</v>
      </c>
      <c r="C106">
        <v>0.25</v>
      </c>
      <c r="D106" t="str">
        <f t="shared" si="2"/>
        <v>2012/06/20 18:30:00</v>
      </c>
      <c r="F106" t="str">
        <v>2012/06/20 18:30:00</v>
      </c>
      <c r="G106">
        <f t="shared" si="3"/>
        <v>41080</v>
      </c>
    </row>
    <row r="107" spans="1:7">
      <c r="A107" s="1">
        <v>41122</v>
      </c>
      <c r="B107">
        <v>0.25</v>
      </c>
      <c r="C107">
        <v>0.25</v>
      </c>
      <c r="D107" t="str">
        <f t="shared" si="2"/>
        <v>2012/08/01 20:15:00</v>
      </c>
      <c r="F107" t="str">
        <v>2012/08/01 20:15:00</v>
      </c>
      <c r="G107">
        <f t="shared" si="3"/>
        <v>41122</v>
      </c>
    </row>
    <row r="108" spans="1:7">
      <c r="A108" s="1">
        <v>41165</v>
      </c>
      <c r="B108">
        <v>0.25</v>
      </c>
      <c r="C108">
        <v>0.25</v>
      </c>
      <c r="D108" t="str">
        <f t="shared" si="2"/>
        <v>2012/09/13 18:30:00</v>
      </c>
      <c r="F108" t="str">
        <v>2012/09/13 18:30:00</v>
      </c>
      <c r="G108">
        <f t="shared" si="3"/>
        <v>41165</v>
      </c>
    </row>
    <row r="109" spans="1:7">
      <c r="A109" s="1">
        <v>41206</v>
      </c>
      <c r="B109">
        <v>0.25</v>
      </c>
      <c r="C109">
        <v>0.25</v>
      </c>
      <c r="D109" t="str">
        <f t="shared" si="2"/>
        <v>2012/10/24 20:15:00</v>
      </c>
      <c r="F109" t="str">
        <v>2012/10/24 20:15:00</v>
      </c>
      <c r="G109">
        <f t="shared" si="3"/>
        <v>41206</v>
      </c>
    </row>
    <row r="110" spans="1:7">
      <c r="A110" s="1">
        <v>41255</v>
      </c>
      <c r="B110">
        <v>0.25</v>
      </c>
      <c r="C110">
        <v>0.25</v>
      </c>
      <c r="D110" t="str">
        <f t="shared" si="2"/>
        <v>2012/12/12 18:30:00</v>
      </c>
      <c r="F110" t="str">
        <v>2012/12/12 18:30:00</v>
      </c>
      <c r="G110">
        <f t="shared" si="3"/>
        <v>41255</v>
      </c>
    </row>
    <row r="111" spans="1:7">
      <c r="A111" s="1">
        <v>41304</v>
      </c>
      <c r="B111">
        <v>0.25</v>
      </c>
      <c r="C111">
        <v>0.25</v>
      </c>
      <c r="D111" t="str">
        <f t="shared" si="2"/>
        <v>2013/01/30 20:15:00</v>
      </c>
      <c r="F111" t="str">
        <v>2013/01/30 20:15:00</v>
      </c>
      <c r="G111">
        <f t="shared" si="3"/>
        <v>41304</v>
      </c>
    </row>
    <row r="112" spans="1:7">
      <c r="A112" s="1">
        <v>41353</v>
      </c>
      <c r="B112">
        <v>0.25</v>
      </c>
      <c r="C112">
        <v>0.25</v>
      </c>
      <c r="D112" t="str">
        <f t="shared" si="2"/>
        <v>2013/03/20 19:00:00</v>
      </c>
      <c r="F112" t="str">
        <v>2013/03/20 19:00:00</v>
      </c>
      <c r="G112">
        <f t="shared" si="3"/>
        <v>41353</v>
      </c>
    </row>
    <row r="113" spans="1:7">
      <c r="A113" s="1">
        <v>41395</v>
      </c>
      <c r="B113">
        <v>0.25</v>
      </c>
      <c r="C113">
        <v>0.25</v>
      </c>
      <c r="D113" t="str">
        <f t="shared" si="2"/>
        <v>2013/05/01 20:00:00</v>
      </c>
      <c r="F113" t="str">
        <v>2013/05/01 20:00:00</v>
      </c>
      <c r="G113">
        <f t="shared" si="3"/>
        <v>41395</v>
      </c>
    </row>
    <row r="114" spans="1:7">
      <c r="A114" s="1">
        <v>41444</v>
      </c>
      <c r="B114">
        <v>0.25</v>
      </c>
      <c r="C114">
        <v>0.25</v>
      </c>
      <c r="D114" t="str">
        <f t="shared" si="2"/>
        <v>2013/06/19 20:00:00</v>
      </c>
      <c r="F114" t="str">
        <v>2013/06/19 20:00:00</v>
      </c>
      <c r="G114">
        <f t="shared" si="3"/>
        <v>41444</v>
      </c>
    </row>
    <row r="115" spans="1:7">
      <c r="A115" s="1">
        <v>41486</v>
      </c>
      <c r="B115">
        <v>0.25</v>
      </c>
      <c r="C115">
        <v>0.25</v>
      </c>
      <c r="D115" t="str">
        <f t="shared" si="2"/>
        <v>2013/07/31 20:00:00</v>
      </c>
      <c r="F115" t="str">
        <v>2013/07/31 20:00:00</v>
      </c>
      <c r="G115">
        <f t="shared" si="3"/>
        <v>41486</v>
      </c>
    </row>
    <row r="116" spans="1:7">
      <c r="A116" s="1">
        <v>41535</v>
      </c>
      <c r="B116">
        <v>0.25</v>
      </c>
      <c r="C116">
        <v>0.25</v>
      </c>
      <c r="D116" t="str">
        <f t="shared" si="2"/>
        <v>2013/09/18 20:00:00</v>
      </c>
      <c r="F116" t="str">
        <v>2013/09/18 20:00:00</v>
      </c>
      <c r="G116">
        <f t="shared" si="3"/>
        <v>41535</v>
      </c>
    </row>
    <row r="117" spans="1:7">
      <c r="A117" s="1">
        <v>41577</v>
      </c>
      <c r="B117">
        <v>0.25</v>
      </c>
      <c r="C117">
        <v>0.25</v>
      </c>
      <c r="D117" t="str">
        <f t="shared" si="2"/>
        <v>2013/10/30 19:00:00</v>
      </c>
      <c r="F117" t="str">
        <v>2013/10/30 19:00:00</v>
      </c>
      <c r="G117">
        <f t="shared" si="3"/>
        <v>41577</v>
      </c>
    </row>
    <row r="118" spans="1:7">
      <c r="A118" s="1">
        <v>41626</v>
      </c>
      <c r="B118">
        <v>0.25</v>
      </c>
      <c r="C118">
        <v>0.25</v>
      </c>
      <c r="D118" t="str">
        <f t="shared" si="2"/>
        <v>2013/12/18 20:00:00</v>
      </c>
      <c r="F118" t="str">
        <v>2013/12/18 20:00:00</v>
      </c>
      <c r="G118">
        <f t="shared" si="3"/>
        <v>41626</v>
      </c>
    </row>
    <row r="119" spans="1:7">
      <c r="A119" s="1">
        <v>41668</v>
      </c>
      <c r="B119">
        <v>0.25</v>
      </c>
      <c r="C119">
        <v>0.25</v>
      </c>
      <c r="D119" t="str">
        <f t="shared" si="2"/>
        <v>2014/01/29 20:00:00</v>
      </c>
      <c r="F119" t="str">
        <v>2014/01/29 20:00:00</v>
      </c>
      <c r="G119">
        <f t="shared" si="3"/>
        <v>41668</v>
      </c>
    </row>
    <row r="120" spans="1:7">
      <c r="A120" s="1">
        <v>41717</v>
      </c>
      <c r="B120">
        <v>0.25</v>
      </c>
      <c r="C120">
        <v>0.25</v>
      </c>
      <c r="D120" t="str">
        <f t="shared" si="2"/>
        <v>2014/03/19 19:00:00</v>
      </c>
      <c r="F120" t="str">
        <v>2014/03/19 19:00:00</v>
      </c>
      <c r="G120">
        <f t="shared" si="3"/>
        <v>41717</v>
      </c>
    </row>
    <row r="121" spans="1:7">
      <c r="A121" s="1">
        <v>41759</v>
      </c>
      <c r="B121">
        <v>0.25</v>
      </c>
      <c r="C121">
        <v>0.25</v>
      </c>
      <c r="D121" t="str">
        <f t="shared" si="2"/>
        <v>2014/04/30 20:00:00</v>
      </c>
      <c r="F121" t="str">
        <v>2014/04/30 20:00:00</v>
      </c>
      <c r="G121">
        <f t="shared" si="3"/>
        <v>41759</v>
      </c>
    </row>
    <row r="122" spans="1:7">
      <c r="A122" s="1">
        <v>41808</v>
      </c>
      <c r="B122">
        <v>0.25</v>
      </c>
      <c r="C122">
        <v>0.25</v>
      </c>
      <c r="D122" t="str">
        <f t="shared" si="2"/>
        <v>2014/06/18 20:00:00</v>
      </c>
      <c r="F122" t="str">
        <v>2014/06/18 20:00:00</v>
      </c>
      <c r="G122">
        <f t="shared" si="3"/>
        <v>41808</v>
      </c>
    </row>
    <row r="123" spans="1:7">
      <c r="A123" s="1">
        <v>41850</v>
      </c>
      <c r="B123">
        <v>0.25</v>
      </c>
      <c r="C123">
        <v>0.25</v>
      </c>
      <c r="D123" t="str">
        <f t="shared" si="2"/>
        <v>2014/07/30 20:00:00</v>
      </c>
      <c r="F123" t="str">
        <v>2014/07/30 20:00:00</v>
      </c>
      <c r="G123">
        <f t="shared" si="3"/>
        <v>41850</v>
      </c>
    </row>
    <row r="124" spans="1:7">
      <c r="A124" s="1">
        <v>41899</v>
      </c>
      <c r="B124">
        <v>0.25</v>
      </c>
      <c r="C124">
        <v>0.25</v>
      </c>
      <c r="D124" t="str">
        <f t="shared" si="2"/>
        <v>2014/09/17 20:00:00</v>
      </c>
      <c r="F124" t="str">
        <v>2014/09/17 20:00:00</v>
      </c>
      <c r="G124">
        <f t="shared" si="3"/>
        <v>41899</v>
      </c>
    </row>
    <row r="125" spans="1:7">
      <c r="A125" s="1">
        <v>41941</v>
      </c>
      <c r="B125">
        <v>0.25</v>
      </c>
      <c r="C125">
        <v>0.25</v>
      </c>
      <c r="D125" t="str">
        <f t="shared" si="2"/>
        <v>2014/10/29 19:00:00</v>
      </c>
      <c r="F125" t="str">
        <v>2014/10/29 19:00:00</v>
      </c>
      <c r="G125">
        <f t="shared" si="3"/>
        <v>41941</v>
      </c>
    </row>
    <row r="126" spans="1:7">
      <c r="A126" s="1">
        <v>41990</v>
      </c>
      <c r="B126">
        <v>0.25</v>
      </c>
      <c r="C126">
        <v>0.25</v>
      </c>
      <c r="D126" t="str">
        <f t="shared" si="2"/>
        <v>2014/12/17 20:00:00</v>
      </c>
      <c r="F126" t="str">
        <v>2014/12/17 20:00:00</v>
      </c>
      <c r="G126">
        <f t="shared" si="3"/>
        <v>41990</v>
      </c>
    </row>
    <row r="127" spans="1:7">
      <c r="A127" s="1">
        <v>42032</v>
      </c>
      <c r="B127">
        <v>0.25</v>
      </c>
      <c r="C127">
        <v>0.25</v>
      </c>
      <c r="D127" t="str">
        <f t="shared" si="2"/>
        <v>2015/01/28 20:00:00</v>
      </c>
      <c r="F127" t="str">
        <v>2015/01/28 20:00:00</v>
      </c>
      <c r="G127">
        <f t="shared" si="3"/>
        <v>42032</v>
      </c>
    </row>
    <row r="128" spans="1:7">
      <c r="A128" s="1">
        <v>42081</v>
      </c>
      <c r="B128">
        <v>0.25</v>
      </c>
      <c r="C128">
        <v>0.25</v>
      </c>
      <c r="D128" t="str">
        <f t="shared" si="2"/>
        <v>2015/03/18 19:00:00</v>
      </c>
      <c r="F128" t="str">
        <v>2015/03/18 19:00:00</v>
      </c>
      <c r="G128">
        <f t="shared" si="3"/>
        <v>42081</v>
      </c>
    </row>
    <row r="129" spans="1:7">
      <c r="A129" s="1">
        <v>42123</v>
      </c>
      <c r="B129">
        <v>0.25</v>
      </c>
      <c r="C129">
        <v>0.25</v>
      </c>
      <c r="D129" t="str">
        <f t="shared" si="2"/>
        <v>2015/04/29 20:00:00</v>
      </c>
      <c r="F129" t="str">
        <v>2015/04/29 20:00:00</v>
      </c>
      <c r="G129">
        <f t="shared" si="3"/>
        <v>42123</v>
      </c>
    </row>
    <row r="130" spans="1:7">
      <c r="A130" s="1">
        <v>42172</v>
      </c>
      <c r="B130">
        <v>0.25</v>
      </c>
      <c r="C130">
        <v>0.25</v>
      </c>
      <c r="D130" t="str">
        <f t="shared" si="2"/>
        <v>2015/06/17 20:00:00</v>
      </c>
      <c r="F130" t="str">
        <v>2015/06/17 20:00:00</v>
      </c>
      <c r="G130">
        <f t="shared" si="3"/>
        <v>42172</v>
      </c>
    </row>
    <row r="131" spans="1:7">
      <c r="A131" s="1">
        <v>42214</v>
      </c>
      <c r="B131">
        <v>0.25</v>
      </c>
      <c r="C131">
        <v>0.25</v>
      </c>
      <c r="D131" t="str">
        <f t="shared" ref="D131:D194" si="4">_xlfn.XLOOKUP(A131,$G:$G,$F:$F,"")</f>
        <v>2015/07/29 20:00:00</v>
      </c>
      <c r="F131" t="str">
        <v>2015/07/29 20:00:00</v>
      </c>
      <c r="G131">
        <f t="shared" ref="G131:G194" si="5">INT(F131)</f>
        <v>42214</v>
      </c>
    </row>
    <row r="132" spans="1:7">
      <c r="A132" s="1">
        <v>42264</v>
      </c>
      <c r="B132">
        <v>0.25</v>
      </c>
      <c r="C132">
        <v>0.25</v>
      </c>
      <c r="D132" t="str">
        <f t="shared" si="4"/>
        <v>2015/09/17 20:00:00</v>
      </c>
      <c r="F132" t="str">
        <v>2015/09/17 20:00:00</v>
      </c>
      <c r="G132">
        <f t="shared" si="5"/>
        <v>42264</v>
      </c>
    </row>
    <row r="133" spans="1:7">
      <c r="A133" s="1">
        <v>42305</v>
      </c>
      <c r="B133">
        <v>0.25</v>
      </c>
      <c r="C133">
        <v>0.25</v>
      </c>
      <c r="D133" t="str">
        <f t="shared" si="4"/>
        <v>2015/10/28 19:00:00</v>
      </c>
      <c r="F133" t="str">
        <v>2015/10/28 19:00:00</v>
      </c>
      <c r="G133">
        <f t="shared" si="5"/>
        <v>42305</v>
      </c>
    </row>
    <row r="134" spans="1:7">
      <c r="A134" s="1">
        <v>42354</v>
      </c>
      <c r="B134">
        <v>0.5</v>
      </c>
      <c r="C134">
        <v>0.5</v>
      </c>
      <c r="D134" t="str">
        <f t="shared" si="4"/>
        <v>2015/12/16 20:00:00</v>
      </c>
      <c r="F134" t="str">
        <v>2015/12/16 20:00:00</v>
      </c>
      <c r="G134">
        <f t="shared" si="5"/>
        <v>42354</v>
      </c>
    </row>
    <row r="135" spans="1:7">
      <c r="A135" s="1">
        <v>42396</v>
      </c>
      <c r="B135">
        <v>0.5</v>
      </c>
      <c r="C135">
        <v>0.5</v>
      </c>
      <c r="D135" t="str">
        <f t="shared" si="4"/>
        <v>2016/01/27 20:00:00</v>
      </c>
      <c r="F135" t="str">
        <v>2016/01/27 20:00:00</v>
      </c>
      <c r="G135">
        <f t="shared" si="5"/>
        <v>42396</v>
      </c>
    </row>
    <row r="136" spans="1:7">
      <c r="A136" s="1">
        <v>42445</v>
      </c>
      <c r="B136">
        <v>0.5</v>
      </c>
      <c r="C136">
        <v>0.5</v>
      </c>
      <c r="D136" t="str">
        <f t="shared" si="4"/>
        <v>2016/03/16 19:00:00</v>
      </c>
      <c r="F136" t="str">
        <v>2016/03/16 19:00:00</v>
      </c>
      <c r="G136">
        <f t="shared" si="5"/>
        <v>42445</v>
      </c>
    </row>
    <row r="137" spans="1:7">
      <c r="A137" s="1">
        <v>42487</v>
      </c>
      <c r="B137">
        <v>0.5</v>
      </c>
      <c r="C137">
        <v>0.5</v>
      </c>
      <c r="D137" t="str">
        <f t="shared" si="4"/>
        <v>2016/04/27 20:00:00</v>
      </c>
      <c r="F137" t="str">
        <v>2016/04/27 20:00:00</v>
      </c>
      <c r="G137">
        <f t="shared" si="5"/>
        <v>42487</v>
      </c>
    </row>
    <row r="138" spans="1:7">
      <c r="A138" s="1">
        <v>42536</v>
      </c>
      <c r="B138">
        <v>0.5</v>
      </c>
      <c r="C138">
        <v>0.5</v>
      </c>
      <c r="D138" t="str">
        <f t="shared" si="4"/>
        <v>2016/06/15 20:00:00</v>
      </c>
      <c r="F138" t="str">
        <v>2016/06/15 20:00:00</v>
      </c>
      <c r="G138">
        <f t="shared" si="5"/>
        <v>42536</v>
      </c>
    </row>
    <row r="139" spans="1:7">
      <c r="A139" s="1">
        <v>42578</v>
      </c>
      <c r="B139">
        <v>0.5</v>
      </c>
      <c r="C139">
        <v>0.5</v>
      </c>
      <c r="D139" t="str">
        <f t="shared" si="4"/>
        <v>2016/07/27 20:00:00</v>
      </c>
      <c r="F139" t="str">
        <v>2016/07/27 20:00:00</v>
      </c>
      <c r="G139">
        <f t="shared" si="5"/>
        <v>42578</v>
      </c>
    </row>
    <row r="140" spans="1:7">
      <c r="A140" s="1">
        <v>42634</v>
      </c>
      <c r="B140">
        <v>0.5</v>
      </c>
      <c r="C140">
        <v>0.5</v>
      </c>
      <c r="D140" t="str">
        <f t="shared" si="4"/>
        <v>2016/09/21 20:00:00</v>
      </c>
      <c r="F140" t="str">
        <v>2016/09/21 20:00:00</v>
      </c>
      <c r="G140">
        <f t="shared" si="5"/>
        <v>42634</v>
      </c>
    </row>
    <row r="141" spans="1:7">
      <c r="A141" s="1">
        <v>42676</v>
      </c>
      <c r="B141">
        <v>0.5</v>
      </c>
      <c r="C141">
        <v>0.5</v>
      </c>
      <c r="D141" t="str">
        <f t="shared" si="4"/>
        <v>2016/11/02 19:00:00</v>
      </c>
      <c r="F141" t="str">
        <v>2016/11/02 19:00:00</v>
      </c>
      <c r="G141">
        <f t="shared" si="5"/>
        <v>42676</v>
      </c>
    </row>
    <row r="142" spans="1:7">
      <c r="A142" s="1">
        <v>42718</v>
      </c>
      <c r="B142">
        <v>0.75</v>
      </c>
      <c r="C142">
        <v>0.75</v>
      </c>
      <c r="D142" t="str">
        <f t="shared" si="4"/>
        <v>2016/12/14 20:00:00</v>
      </c>
      <c r="F142" t="str">
        <v>2016/12/14 20:00:00</v>
      </c>
      <c r="G142">
        <f t="shared" si="5"/>
        <v>42718</v>
      </c>
    </row>
    <row r="143" spans="1:7">
      <c r="A143" s="1">
        <v>42767</v>
      </c>
      <c r="B143">
        <v>0.75</v>
      </c>
      <c r="C143">
        <v>0.75</v>
      </c>
      <c r="D143" t="str">
        <f t="shared" si="4"/>
        <v>2017/02/01 20:00:00</v>
      </c>
      <c r="F143" t="str">
        <v>2017/02/01 20:00:00</v>
      </c>
      <c r="G143">
        <f t="shared" si="5"/>
        <v>42767</v>
      </c>
    </row>
    <row r="144" spans="1:7">
      <c r="A144" s="1">
        <v>42809</v>
      </c>
      <c r="B144">
        <v>1</v>
      </c>
      <c r="C144">
        <v>1</v>
      </c>
      <c r="D144" t="str">
        <f t="shared" si="4"/>
        <v>2017/03/15 19:00:00</v>
      </c>
      <c r="F144" t="str">
        <v>2017/03/15 19:00:00</v>
      </c>
      <c r="G144">
        <f t="shared" si="5"/>
        <v>42809</v>
      </c>
    </row>
    <row r="145" spans="1:7">
      <c r="A145" s="1">
        <v>42858</v>
      </c>
      <c r="B145">
        <v>1</v>
      </c>
      <c r="C145">
        <v>1</v>
      </c>
      <c r="D145" t="str">
        <f t="shared" si="4"/>
        <v>2017/05/03 20:00:00</v>
      </c>
      <c r="F145" t="str">
        <v>2017/05/03 20:00:00</v>
      </c>
      <c r="G145">
        <f t="shared" si="5"/>
        <v>42858</v>
      </c>
    </row>
    <row r="146" spans="1:7">
      <c r="A146" s="1">
        <v>42900</v>
      </c>
      <c r="B146">
        <v>1.25</v>
      </c>
      <c r="C146">
        <v>1.25</v>
      </c>
      <c r="D146" t="str">
        <f t="shared" si="4"/>
        <v>2017/06/14 20:00:00</v>
      </c>
      <c r="F146" t="str">
        <v>2017/06/14 20:00:00</v>
      </c>
      <c r="G146">
        <f t="shared" si="5"/>
        <v>42900</v>
      </c>
    </row>
    <row r="147" spans="1:7">
      <c r="A147" s="1">
        <v>42942</v>
      </c>
      <c r="B147">
        <v>1.25</v>
      </c>
      <c r="C147">
        <v>1.25</v>
      </c>
      <c r="D147" t="str">
        <f t="shared" si="4"/>
        <v>2017/07/26 20:00:00</v>
      </c>
      <c r="F147" t="str">
        <v>2017/07/26 20:00:00</v>
      </c>
      <c r="G147">
        <f t="shared" si="5"/>
        <v>42942</v>
      </c>
    </row>
    <row r="148" spans="1:7">
      <c r="A148" s="1">
        <v>42998</v>
      </c>
      <c r="B148">
        <v>1.25</v>
      </c>
      <c r="C148">
        <v>1.25</v>
      </c>
      <c r="D148" t="str">
        <f t="shared" si="4"/>
        <v>2017/09/20 20:00:00</v>
      </c>
      <c r="F148" t="str">
        <v>2017/09/20 20:00:00</v>
      </c>
      <c r="G148">
        <f t="shared" si="5"/>
        <v>42998</v>
      </c>
    </row>
    <row r="149" spans="1:7">
      <c r="A149" s="1">
        <v>43040</v>
      </c>
      <c r="B149">
        <v>1.25</v>
      </c>
      <c r="C149">
        <v>1.25</v>
      </c>
      <c r="D149" t="str">
        <f t="shared" si="4"/>
        <v>2017/11/01 19:00:00</v>
      </c>
      <c r="F149" t="str">
        <v>2017/11/01 19:00:00</v>
      </c>
      <c r="G149">
        <f t="shared" si="5"/>
        <v>43040</v>
      </c>
    </row>
    <row r="150" spans="1:7">
      <c r="A150" s="1">
        <v>43082</v>
      </c>
      <c r="B150">
        <v>1.5</v>
      </c>
      <c r="C150">
        <v>1.5</v>
      </c>
      <c r="D150" t="str">
        <f t="shared" si="4"/>
        <v>2017/12/13 20:00:00</v>
      </c>
      <c r="F150" t="str">
        <v>2017/12/13 20:00:00</v>
      </c>
      <c r="G150">
        <f t="shared" si="5"/>
        <v>43082</v>
      </c>
    </row>
    <row r="151" spans="1:7">
      <c r="A151" s="1">
        <v>43131</v>
      </c>
      <c r="B151">
        <v>1.5</v>
      </c>
      <c r="C151">
        <v>1.5</v>
      </c>
      <c r="D151" t="str">
        <f t="shared" si="4"/>
        <v>2018/01/31 20:00:00</v>
      </c>
      <c r="F151" t="str">
        <v>2018/01/31 20:00:00</v>
      </c>
      <c r="G151">
        <f t="shared" si="5"/>
        <v>43131</v>
      </c>
    </row>
    <row r="152" spans="1:7">
      <c r="A152" s="1">
        <v>43180</v>
      </c>
      <c r="B152">
        <v>1.75</v>
      </c>
      <c r="C152">
        <v>1.75</v>
      </c>
      <c r="D152" t="str">
        <f t="shared" si="4"/>
        <v>2018/03/21 19:00:00</v>
      </c>
      <c r="F152" t="str">
        <v>2018/03/21 19:00:00</v>
      </c>
      <c r="G152">
        <f t="shared" si="5"/>
        <v>43180</v>
      </c>
    </row>
    <row r="153" spans="1:7">
      <c r="A153" s="1">
        <v>43222</v>
      </c>
      <c r="B153">
        <v>1.75</v>
      </c>
      <c r="C153">
        <v>1.75</v>
      </c>
      <c r="D153" t="str">
        <f t="shared" si="4"/>
        <v>2018/05/02 20:00:00</v>
      </c>
      <c r="F153" t="str">
        <v>2018/05/02 20:00:00</v>
      </c>
      <c r="G153">
        <f t="shared" si="5"/>
        <v>43222</v>
      </c>
    </row>
    <row r="154" spans="1:7">
      <c r="A154" s="1">
        <v>43264</v>
      </c>
      <c r="B154">
        <v>2</v>
      </c>
      <c r="C154">
        <v>2</v>
      </c>
      <c r="D154" t="str">
        <f t="shared" si="4"/>
        <v>2018/06/13 20:00:00</v>
      </c>
      <c r="F154" t="str">
        <v>2018/06/13 20:00:00</v>
      </c>
      <c r="G154">
        <f t="shared" si="5"/>
        <v>43264</v>
      </c>
    </row>
    <row r="155" spans="1:7">
      <c r="A155" s="1">
        <v>43313</v>
      </c>
      <c r="B155">
        <v>2</v>
      </c>
      <c r="C155">
        <v>2</v>
      </c>
      <c r="D155" t="str">
        <f t="shared" si="4"/>
        <v>2018/08/01 20:00:00</v>
      </c>
      <c r="F155" t="str">
        <v>2018/08/01 20:00:00</v>
      </c>
      <c r="G155">
        <f t="shared" si="5"/>
        <v>43313</v>
      </c>
    </row>
    <row r="156" spans="1:7">
      <c r="A156" s="1">
        <v>43369</v>
      </c>
      <c r="B156">
        <v>2.25</v>
      </c>
      <c r="C156">
        <v>2.25</v>
      </c>
      <c r="D156" t="str">
        <f t="shared" si="4"/>
        <v>2018/09/26 20:00:00</v>
      </c>
      <c r="F156" t="str">
        <v>2018/09/26 20:00:00</v>
      </c>
      <c r="G156">
        <f t="shared" si="5"/>
        <v>43369</v>
      </c>
    </row>
    <row r="157" spans="1:7">
      <c r="A157" s="1">
        <v>43412</v>
      </c>
      <c r="B157">
        <v>2.25</v>
      </c>
      <c r="C157">
        <v>2.25</v>
      </c>
      <c r="D157" t="str">
        <f t="shared" si="4"/>
        <v>2018/11/08 20:00:00</v>
      </c>
      <c r="F157" t="str">
        <v>2018/11/08 20:00:00</v>
      </c>
      <c r="G157">
        <f t="shared" si="5"/>
        <v>43412</v>
      </c>
    </row>
    <row r="158" spans="1:7">
      <c r="A158" s="1">
        <v>43453</v>
      </c>
      <c r="B158">
        <v>2.5</v>
      </c>
      <c r="C158">
        <v>2.5</v>
      </c>
      <c r="D158" t="str">
        <f t="shared" si="4"/>
        <v>2018/12/19 20:00:00</v>
      </c>
      <c r="F158" t="str">
        <v>2018/12/19 20:00:00</v>
      </c>
      <c r="G158">
        <f t="shared" si="5"/>
        <v>43453</v>
      </c>
    </row>
    <row r="159" spans="1:7">
      <c r="A159" s="1">
        <v>43495</v>
      </c>
      <c r="B159">
        <v>2.5</v>
      </c>
      <c r="C159">
        <v>2.5</v>
      </c>
      <c r="D159" t="str">
        <f t="shared" si="4"/>
        <v>2019/01/30 20:00:00</v>
      </c>
      <c r="F159" t="str">
        <v>2019/01/30 20:00:00</v>
      </c>
      <c r="G159">
        <f t="shared" si="5"/>
        <v>43495</v>
      </c>
    </row>
    <row r="160" spans="1:7">
      <c r="A160" s="1">
        <v>43544</v>
      </c>
      <c r="B160">
        <v>2.5</v>
      </c>
      <c r="C160">
        <v>2.5</v>
      </c>
      <c r="D160" t="str">
        <f t="shared" si="4"/>
        <v>2019/03/20 19:00:00</v>
      </c>
      <c r="F160" t="str">
        <v>2019/03/20 19:00:00</v>
      </c>
      <c r="G160">
        <f t="shared" si="5"/>
        <v>43544</v>
      </c>
    </row>
    <row r="161" spans="1:7">
      <c r="A161" s="1">
        <v>43586</v>
      </c>
      <c r="B161">
        <v>2.5</v>
      </c>
      <c r="C161">
        <v>2.5</v>
      </c>
      <c r="D161" t="str">
        <f t="shared" si="4"/>
        <v>2019/05/01 20:00:00</v>
      </c>
      <c r="F161" t="str">
        <v>2019/05/01 20:00:00</v>
      </c>
      <c r="G161">
        <f t="shared" si="5"/>
        <v>43586</v>
      </c>
    </row>
    <row r="162" spans="1:7">
      <c r="A162" s="1">
        <v>43635</v>
      </c>
      <c r="B162">
        <v>2.5</v>
      </c>
      <c r="C162">
        <v>2.5</v>
      </c>
      <c r="D162" t="str">
        <f t="shared" si="4"/>
        <v>2019/06/19 20:00:00</v>
      </c>
      <c r="F162" t="str">
        <v>2019/06/19 20:00:00</v>
      </c>
      <c r="G162">
        <f t="shared" si="5"/>
        <v>43635</v>
      </c>
    </row>
    <row r="163" spans="1:7">
      <c r="A163" s="1">
        <v>43677</v>
      </c>
      <c r="B163">
        <v>2.25</v>
      </c>
      <c r="C163">
        <v>2.25</v>
      </c>
      <c r="D163" t="str">
        <f t="shared" si="4"/>
        <v>2019/07/31 20:00:00</v>
      </c>
      <c r="F163" t="str">
        <v>2019/07/31 20:00:00</v>
      </c>
      <c r="G163">
        <f t="shared" si="5"/>
        <v>43677</v>
      </c>
    </row>
    <row r="164" spans="1:7">
      <c r="A164" s="1">
        <v>43726</v>
      </c>
      <c r="B164">
        <v>2</v>
      </c>
      <c r="C164">
        <v>2</v>
      </c>
      <c r="D164" t="str">
        <f t="shared" si="4"/>
        <v>2019/09/18 20:00:00</v>
      </c>
      <c r="F164" t="str">
        <v>2019/09/18 20:00:00</v>
      </c>
      <c r="G164">
        <f t="shared" si="5"/>
        <v>43726</v>
      </c>
    </row>
    <row r="165" spans="1:7">
      <c r="A165" s="1">
        <v>43768</v>
      </c>
      <c r="B165">
        <v>1.75</v>
      </c>
      <c r="C165">
        <v>1.75</v>
      </c>
      <c r="D165" t="str">
        <f t="shared" si="4"/>
        <v>2019/10/30 19:00:00</v>
      </c>
      <c r="F165" t="str">
        <v>2019/10/30 19:00:00</v>
      </c>
      <c r="G165">
        <f t="shared" si="5"/>
        <v>43768</v>
      </c>
    </row>
    <row r="166" spans="1:7">
      <c r="A166" s="1">
        <v>43810</v>
      </c>
      <c r="B166">
        <v>1.75</v>
      </c>
      <c r="C166">
        <v>1.75</v>
      </c>
      <c r="D166" t="str">
        <f t="shared" si="4"/>
        <v>2019/12/11 20:00:00</v>
      </c>
      <c r="F166" t="str">
        <v>2019/12/11 20:00:00</v>
      </c>
      <c r="G166">
        <f t="shared" si="5"/>
        <v>43810</v>
      </c>
    </row>
    <row r="167" spans="1:7">
      <c r="A167" s="1">
        <v>43859</v>
      </c>
      <c r="B167">
        <v>1.75</v>
      </c>
      <c r="C167">
        <v>1.75</v>
      </c>
      <c r="D167" t="str">
        <f t="shared" si="4"/>
        <v>2020/01/29 20:00:00</v>
      </c>
      <c r="F167" t="str">
        <v>2020/01/29 20:00:00</v>
      </c>
      <c r="G167">
        <f t="shared" si="5"/>
        <v>43859</v>
      </c>
    </row>
    <row r="168" spans="1:7">
      <c r="A168" s="1">
        <v>43893</v>
      </c>
      <c r="B168">
        <v>1.5</v>
      </c>
      <c r="C168">
        <v>1.25</v>
      </c>
      <c r="D168" t="str">
        <f t="shared" si="4"/>
        <v>2020/03/03 16:00:00</v>
      </c>
      <c r="F168" t="str">
        <v>2020/03/03 16:00:00</v>
      </c>
      <c r="G168">
        <f t="shared" si="5"/>
        <v>43893</v>
      </c>
    </row>
    <row r="169" spans="1:7">
      <c r="A169" s="1">
        <v>43905</v>
      </c>
      <c r="B169" t="str">
        <v>#N/A N/A</v>
      </c>
      <c r="C169">
        <v>0.25</v>
      </c>
      <c r="D169" t="str">
        <f t="shared" si="4"/>
        <v>2020/03/15 22:00:00</v>
      </c>
      <c r="F169" t="str">
        <v>2020/03/15 22:00:00</v>
      </c>
      <c r="G169">
        <f t="shared" si="5"/>
        <v>43905</v>
      </c>
    </row>
    <row r="170" spans="1:7">
      <c r="A170" s="1">
        <v>43950</v>
      </c>
      <c r="B170">
        <v>0.25</v>
      </c>
      <c r="C170">
        <v>0.25</v>
      </c>
      <c r="D170" t="str">
        <f t="shared" si="4"/>
        <v>2020/04/29 20:00:00</v>
      </c>
      <c r="F170" t="str">
        <v>2020/04/29 20:00:00</v>
      </c>
      <c r="G170">
        <f t="shared" si="5"/>
        <v>43950</v>
      </c>
    </row>
    <row r="171" spans="1:7">
      <c r="A171" s="1">
        <v>43992</v>
      </c>
      <c r="B171">
        <v>0.25</v>
      </c>
      <c r="C171">
        <v>0.25</v>
      </c>
      <c r="D171" t="str">
        <f t="shared" si="4"/>
        <v>2020/06/10 20:00:00</v>
      </c>
      <c r="F171" t="str">
        <v>2020/06/10 20:00:00</v>
      </c>
      <c r="G171">
        <f t="shared" si="5"/>
        <v>43992</v>
      </c>
    </row>
    <row r="172" spans="1:7">
      <c r="A172" s="1">
        <v>44041</v>
      </c>
      <c r="B172">
        <v>0.25</v>
      </c>
      <c r="C172">
        <v>0.25</v>
      </c>
      <c r="D172" t="str">
        <f t="shared" si="4"/>
        <v>2020/07/29 20:00:00</v>
      </c>
      <c r="F172" t="str">
        <v>2020/07/29 20:00:00</v>
      </c>
      <c r="G172">
        <f t="shared" si="5"/>
        <v>44041</v>
      </c>
    </row>
    <row r="173" spans="1:7">
      <c r="A173" s="1">
        <v>44090</v>
      </c>
      <c r="B173">
        <v>0.25</v>
      </c>
      <c r="C173">
        <v>0.25</v>
      </c>
      <c r="D173" t="str">
        <f t="shared" si="4"/>
        <v>2020/09/16 20:00:00</v>
      </c>
      <c r="F173" t="str">
        <v>2020/09/16 20:00:00</v>
      </c>
      <c r="G173">
        <f t="shared" si="5"/>
        <v>44090</v>
      </c>
    </row>
    <row r="174" spans="1:7">
      <c r="A174" s="1">
        <v>44140</v>
      </c>
      <c r="B174">
        <v>0.25</v>
      </c>
      <c r="C174">
        <v>0.25</v>
      </c>
      <c r="D174" t="str">
        <f t="shared" si="4"/>
        <v>2020/11/05 20:00:00</v>
      </c>
      <c r="F174" t="str">
        <v>2020/11/05 20:00:00</v>
      </c>
      <c r="G174">
        <f t="shared" si="5"/>
        <v>44140</v>
      </c>
    </row>
    <row r="175" spans="1:7">
      <c r="A175" s="1">
        <v>44181</v>
      </c>
      <c r="B175">
        <v>0.25</v>
      </c>
      <c r="C175">
        <v>0.25</v>
      </c>
      <c r="D175" t="str">
        <f t="shared" si="4"/>
        <v>2020/12/16 20:00:00</v>
      </c>
      <c r="F175" t="str">
        <v>2020/12/16 20:00:00</v>
      </c>
      <c r="G175">
        <f t="shared" si="5"/>
        <v>44181</v>
      </c>
    </row>
    <row r="176" spans="1:7">
      <c r="A176" s="1">
        <v>44223</v>
      </c>
      <c r="B176">
        <v>0.25</v>
      </c>
      <c r="C176">
        <v>0.25</v>
      </c>
      <c r="D176" t="str">
        <f t="shared" si="4"/>
        <v>2021/01/27 20:00:00</v>
      </c>
      <c r="F176" t="str">
        <v>2021/01/27 20:00:00</v>
      </c>
      <c r="G176">
        <f t="shared" si="5"/>
        <v>44223</v>
      </c>
    </row>
    <row r="177" spans="1:7">
      <c r="A177" s="1">
        <v>44272</v>
      </c>
      <c r="B177">
        <v>0.25</v>
      </c>
      <c r="C177">
        <v>0.25</v>
      </c>
      <c r="D177" t="str">
        <f t="shared" si="4"/>
        <v>2021/03/17 19:00:00</v>
      </c>
      <c r="F177" t="str">
        <v>2021/03/17 19:00:00</v>
      </c>
      <c r="G177">
        <f t="shared" si="5"/>
        <v>44272</v>
      </c>
    </row>
    <row r="178" spans="1:7">
      <c r="A178" s="1">
        <v>44314</v>
      </c>
      <c r="B178">
        <v>0.25</v>
      </c>
      <c r="C178">
        <v>0.25</v>
      </c>
      <c r="D178" t="str">
        <f t="shared" si="4"/>
        <v>2021/04/28 20:00:00</v>
      </c>
      <c r="F178" t="str">
        <v>2021/04/28 20:00:00</v>
      </c>
      <c r="G178">
        <f t="shared" si="5"/>
        <v>44314</v>
      </c>
    </row>
    <row r="179" spans="1:7">
      <c r="A179" s="1">
        <v>44363</v>
      </c>
      <c r="B179">
        <v>0.25</v>
      </c>
      <c r="C179">
        <v>0.25</v>
      </c>
      <c r="D179" t="str">
        <f t="shared" si="4"/>
        <v>2021/06/16 20:00:00</v>
      </c>
      <c r="F179" t="str">
        <v>2021/06/16 20:00:00</v>
      </c>
      <c r="G179">
        <f t="shared" si="5"/>
        <v>44363</v>
      </c>
    </row>
    <row r="180" spans="1:7">
      <c r="A180" s="1">
        <v>44405</v>
      </c>
      <c r="B180">
        <v>0.25</v>
      </c>
      <c r="C180">
        <v>0.25</v>
      </c>
      <c r="D180" t="str">
        <f t="shared" si="4"/>
        <v>2021/07/28 20:00:00</v>
      </c>
      <c r="F180" t="str">
        <v>2021/07/28 20:00:00</v>
      </c>
      <c r="G180">
        <f t="shared" si="5"/>
        <v>44405</v>
      </c>
    </row>
    <row r="181" spans="1:7">
      <c r="A181" s="1">
        <v>44461</v>
      </c>
      <c r="B181">
        <v>0.25</v>
      </c>
      <c r="C181">
        <v>0.25</v>
      </c>
      <c r="D181" t="str">
        <f t="shared" si="4"/>
        <v>2021/09/22 20:00:00</v>
      </c>
      <c r="F181" t="str">
        <v>2021/09/22 20:00:00</v>
      </c>
      <c r="G181">
        <f t="shared" si="5"/>
        <v>44461</v>
      </c>
    </row>
    <row r="182" spans="1:7">
      <c r="A182" s="1">
        <v>44503</v>
      </c>
      <c r="B182">
        <v>0.25</v>
      </c>
      <c r="C182">
        <v>0.25</v>
      </c>
      <c r="D182" t="str">
        <f t="shared" si="4"/>
        <v>2021/11/03 19:00:00</v>
      </c>
      <c r="F182" t="str">
        <v>2021/11/03 19:00:00</v>
      </c>
      <c r="G182">
        <f t="shared" si="5"/>
        <v>44503</v>
      </c>
    </row>
    <row r="183" spans="1:7">
      <c r="A183" s="1">
        <v>44545</v>
      </c>
      <c r="B183">
        <v>0.25</v>
      </c>
      <c r="C183">
        <v>0.25</v>
      </c>
      <c r="D183" t="str">
        <f t="shared" si="4"/>
        <v>2021/12/15 20:00:00</v>
      </c>
      <c r="F183" t="str">
        <v>2021/12/15 20:00:00</v>
      </c>
      <c r="G183">
        <f t="shared" si="5"/>
        <v>44545</v>
      </c>
    </row>
    <row r="184" spans="1:7">
      <c r="A184" s="1">
        <v>44587</v>
      </c>
      <c r="B184">
        <v>0.25</v>
      </c>
      <c r="C184">
        <v>0.25</v>
      </c>
      <c r="D184" t="str">
        <f t="shared" si="4"/>
        <v>2022/01/26 20:00:00</v>
      </c>
      <c r="F184" t="str">
        <v>2022/01/26 20:00:00</v>
      </c>
      <c r="G184">
        <f t="shared" si="5"/>
        <v>44587</v>
      </c>
    </row>
    <row r="185" spans="1:7">
      <c r="A185" s="1">
        <v>44636</v>
      </c>
      <c r="B185">
        <v>0.5</v>
      </c>
      <c r="C185">
        <v>0.5</v>
      </c>
      <c r="D185" t="str">
        <f t="shared" si="4"/>
        <v>2022/03/16 19:00:00</v>
      </c>
      <c r="F185" t="str">
        <v>2022/03/16 19:00:00</v>
      </c>
      <c r="G185">
        <f t="shared" si="5"/>
        <v>44636</v>
      </c>
    </row>
    <row r="186" spans="1:7">
      <c r="A186" s="1">
        <v>44685</v>
      </c>
      <c r="B186">
        <v>1</v>
      </c>
      <c r="C186">
        <v>1</v>
      </c>
      <c r="D186" t="str">
        <f t="shared" si="4"/>
        <v>2022/05/04 20:00:00</v>
      </c>
      <c r="F186" t="str">
        <v>2022/05/04 20:00:00</v>
      </c>
      <c r="G186">
        <f t="shared" si="5"/>
        <v>44685</v>
      </c>
    </row>
    <row r="187" spans="1:7">
      <c r="A187" s="1">
        <v>44727</v>
      </c>
      <c r="B187">
        <v>1.5</v>
      </c>
      <c r="C187">
        <v>1.75</v>
      </c>
      <c r="D187" t="str">
        <f t="shared" si="4"/>
        <v>2022/06/15 20:00:00</v>
      </c>
      <c r="F187" t="str">
        <v>2022/06/15 20:00:00</v>
      </c>
      <c r="G187">
        <f t="shared" si="5"/>
        <v>44727</v>
      </c>
    </row>
    <row r="188" spans="1:7">
      <c r="A188" s="1">
        <v>44769</v>
      </c>
      <c r="B188">
        <v>2.5</v>
      </c>
      <c r="C188">
        <v>2.5</v>
      </c>
      <c r="D188" t="str">
        <f t="shared" si="4"/>
        <v>2022/07/27 20:00:00</v>
      </c>
      <c r="F188" t="str">
        <v>2022/07/27 20:00:00</v>
      </c>
      <c r="G188">
        <f t="shared" si="5"/>
        <v>44769</v>
      </c>
    </row>
    <row r="189" spans="1:7">
      <c r="A189" s="1">
        <v>44825</v>
      </c>
      <c r="B189">
        <v>3.25</v>
      </c>
      <c r="C189">
        <v>3.25</v>
      </c>
      <c r="D189" t="str">
        <f t="shared" si="4"/>
        <v>2022/09/21 20:00:00</v>
      </c>
      <c r="F189" t="str">
        <v>2022/09/21 20:00:00</v>
      </c>
      <c r="G189">
        <f t="shared" si="5"/>
        <v>44825</v>
      </c>
    </row>
    <row r="190" spans="1:7">
      <c r="A190" s="1">
        <v>44867</v>
      </c>
      <c r="B190">
        <v>4</v>
      </c>
      <c r="C190">
        <v>4</v>
      </c>
      <c r="D190" t="str">
        <f t="shared" si="4"/>
        <v>2022/11/02 19:00:00</v>
      </c>
      <c r="F190" t="str">
        <v>2022/11/02 19:00:00</v>
      </c>
      <c r="G190">
        <f t="shared" si="5"/>
        <v>44867</v>
      </c>
    </row>
    <row r="191" spans="1:7">
      <c r="A191" s="1">
        <v>44909</v>
      </c>
      <c r="B191">
        <v>4.5</v>
      </c>
      <c r="C191">
        <v>4.5</v>
      </c>
      <c r="D191" t="str">
        <f t="shared" si="4"/>
        <v>2022/12/14 20:00:00</v>
      </c>
      <c r="F191" t="str">
        <v>2022/12/14 20:00:00</v>
      </c>
      <c r="G191">
        <f t="shared" si="5"/>
        <v>44909</v>
      </c>
    </row>
    <row r="192" spans="1:7">
      <c r="A192" s="1">
        <v>44958</v>
      </c>
      <c r="B192">
        <v>4.75</v>
      </c>
      <c r="C192">
        <v>4.75</v>
      </c>
      <c r="D192" t="str">
        <f t="shared" si="4"/>
        <v>2023/02/01 20:00:00</v>
      </c>
      <c r="F192" t="str">
        <v>2023/02/01 20:00:00</v>
      </c>
      <c r="G192">
        <f t="shared" si="5"/>
        <v>44958</v>
      </c>
    </row>
    <row r="193" spans="1:7">
      <c r="A193" s="1">
        <v>45007</v>
      </c>
      <c r="B193">
        <v>5</v>
      </c>
      <c r="C193">
        <v>5</v>
      </c>
      <c r="D193" t="str">
        <f t="shared" si="4"/>
        <v>2023/03/22 19:00:00</v>
      </c>
      <c r="F193" t="str">
        <v>2023/03/22 19:00:00</v>
      </c>
      <c r="G193">
        <f t="shared" si="5"/>
        <v>45007</v>
      </c>
    </row>
    <row r="194" spans="1:7">
      <c r="A194" s="1">
        <v>45049</v>
      </c>
      <c r="B194">
        <v>5.25</v>
      </c>
      <c r="C194">
        <v>5.25</v>
      </c>
      <c r="D194" t="str">
        <f t="shared" si="4"/>
        <v>2023/05/03 20:00:00</v>
      </c>
      <c r="F194" t="str">
        <v>2023/05/03 20:00:00</v>
      </c>
      <c r="G194">
        <f t="shared" si="5"/>
        <v>45049</v>
      </c>
    </row>
    <row r="195" spans="1:7">
      <c r="A195" s="1">
        <v>45091</v>
      </c>
      <c r="B195">
        <v>5.25</v>
      </c>
      <c r="C195">
        <v>5.25</v>
      </c>
      <c r="D195" t="str">
        <f t="shared" ref="D195:D217" si="6">_xlfn.XLOOKUP(A195,$G:$G,$F:$F,"")</f>
        <v>2023/06/14 20:00:00</v>
      </c>
      <c r="F195" t="str">
        <v>2023/06/14 20:00:00</v>
      </c>
      <c r="G195">
        <f t="shared" ref="G195:G217" si="7">INT(F195)</f>
        <v>45091</v>
      </c>
    </row>
    <row r="196" spans="1:7">
      <c r="A196" s="1">
        <v>45133</v>
      </c>
      <c r="B196">
        <v>5.5</v>
      </c>
      <c r="C196">
        <v>5.5</v>
      </c>
      <c r="D196" t="str">
        <f t="shared" si="6"/>
        <v>2023/07/26 20:00:00</v>
      </c>
      <c r="F196" t="str">
        <v>2023/07/26 20:00:00</v>
      </c>
      <c r="G196">
        <f t="shared" si="7"/>
        <v>45133</v>
      </c>
    </row>
    <row r="197" spans="1:7">
      <c r="A197" s="1">
        <v>45189</v>
      </c>
      <c r="B197">
        <v>5.5</v>
      </c>
      <c r="C197">
        <v>5.5</v>
      </c>
      <c r="D197" t="str">
        <f t="shared" si="6"/>
        <v>2023/09/20 20:00:00</v>
      </c>
      <c r="F197" t="str">
        <v>2023/09/20 20:00:00</v>
      </c>
      <c r="G197">
        <f t="shared" si="7"/>
        <v>45189</v>
      </c>
    </row>
    <row r="198" spans="1:7">
      <c r="A198" s="1">
        <v>45231</v>
      </c>
      <c r="B198">
        <v>5.5</v>
      </c>
      <c r="C198">
        <v>5.5</v>
      </c>
      <c r="D198" t="str">
        <f t="shared" si="6"/>
        <v>2023/11/01 19:00:00</v>
      </c>
      <c r="F198" t="str">
        <v>2023/11/01 19:00:00</v>
      </c>
      <c r="G198">
        <f t="shared" si="7"/>
        <v>45231</v>
      </c>
    </row>
    <row r="199" spans="1:7">
      <c r="A199" s="1">
        <v>45273</v>
      </c>
      <c r="B199">
        <v>5.5</v>
      </c>
      <c r="C199">
        <v>5.5</v>
      </c>
      <c r="D199" t="str">
        <f t="shared" si="6"/>
        <v>2023/12/13 20:00:00</v>
      </c>
      <c r="F199" t="str">
        <v>2023/12/13 20:00:00</v>
      </c>
      <c r="G199">
        <f t="shared" si="7"/>
        <v>45273</v>
      </c>
    </row>
    <row r="200" spans="1:7">
      <c r="A200" s="1">
        <v>45322</v>
      </c>
      <c r="B200">
        <v>5.5</v>
      </c>
      <c r="C200">
        <v>5.5</v>
      </c>
      <c r="D200" t="str">
        <f t="shared" si="6"/>
        <v>2024/01/31 20:00:00</v>
      </c>
      <c r="F200" t="str">
        <v>2024/01/31 20:00:00</v>
      </c>
      <c r="G200">
        <f t="shared" si="7"/>
        <v>45322</v>
      </c>
    </row>
    <row r="201" spans="1:7">
      <c r="A201" s="1">
        <v>45371</v>
      </c>
      <c r="B201">
        <v>5.5</v>
      </c>
      <c r="C201">
        <v>5.5</v>
      </c>
      <c r="D201" t="str">
        <f t="shared" si="6"/>
        <v>2024/03/20 19:00:00</v>
      </c>
      <c r="F201" t="str">
        <v>2024/03/20 19:00:00</v>
      </c>
      <c r="G201">
        <f t="shared" si="7"/>
        <v>45371</v>
      </c>
    </row>
    <row r="202" spans="1:7">
      <c r="A202" s="1">
        <v>45413</v>
      </c>
      <c r="B202">
        <v>5.5</v>
      </c>
      <c r="C202">
        <v>5.5</v>
      </c>
      <c r="D202" t="str">
        <f t="shared" si="6"/>
        <v>2024/05/01 20:00:00</v>
      </c>
      <c r="F202" t="str">
        <v>2024/05/01 20:00:00</v>
      </c>
      <c r="G202">
        <f t="shared" si="7"/>
        <v>45413</v>
      </c>
    </row>
    <row r="203" spans="1:7">
      <c r="A203" s="1">
        <v>45455</v>
      </c>
      <c r="B203">
        <v>5.5</v>
      </c>
      <c r="C203">
        <v>5.5</v>
      </c>
      <c r="D203" t="str">
        <f t="shared" si="6"/>
        <v>2024/06/12 20:00:00</v>
      </c>
      <c r="F203" t="str">
        <v>2024/06/12 20:00:00</v>
      </c>
      <c r="G203">
        <f t="shared" si="7"/>
        <v>45455</v>
      </c>
    </row>
    <row r="204" spans="1:7">
      <c r="A204" s="1">
        <v>45504</v>
      </c>
      <c r="B204">
        <v>5.5</v>
      </c>
      <c r="C204">
        <v>5.5</v>
      </c>
      <c r="D204" t="str">
        <f t="shared" si="6"/>
        <v>2024/07/31 20:00:00</v>
      </c>
      <c r="F204" t="str">
        <v>2024/07/31 20:00:00</v>
      </c>
      <c r="G204">
        <f t="shared" si="7"/>
        <v>45504</v>
      </c>
    </row>
    <row r="205" spans="1:7">
      <c r="A205" s="1">
        <v>45553</v>
      </c>
      <c r="B205">
        <v>5.25</v>
      </c>
      <c r="C205">
        <v>5</v>
      </c>
      <c r="D205" t="str">
        <f t="shared" si="6"/>
        <v>2024/09/18 20:00:00</v>
      </c>
      <c r="F205" t="str">
        <v>2024/09/18 20:00:00</v>
      </c>
      <c r="G205">
        <f t="shared" si="7"/>
        <v>45553</v>
      </c>
    </row>
    <row r="206" spans="1:7">
      <c r="A206" s="1">
        <v>45603</v>
      </c>
      <c r="B206">
        <v>4.75</v>
      </c>
      <c r="C206">
        <v>4.75</v>
      </c>
      <c r="D206" t="str">
        <f t="shared" si="6"/>
        <v>2024/11/07 20:00:00</v>
      </c>
      <c r="F206" t="str">
        <v>2024/11/07 20:00:00</v>
      </c>
      <c r="G206">
        <f t="shared" si="7"/>
        <v>45603</v>
      </c>
    </row>
    <row r="207" spans="1:7">
      <c r="A207" s="1">
        <v>45644</v>
      </c>
      <c r="B207">
        <v>4.5</v>
      </c>
      <c r="C207">
        <v>4.5</v>
      </c>
      <c r="D207" t="str">
        <f t="shared" si="6"/>
        <v>2024/12/18 20:00:00</v>
      </c>
      <c r="F207" t="str">
        <v>2024/12/18 20:00:00</v>
      </c>
      <c r="G207">
        <f t="shared" si="7"/>
        <v>45644</v>
      </c>
    </row>
    <row r="208" spans="1:7">
      <c r="A208" s="1">
        <v>45686</v>
      </c>
      <c r="B208">
        <v>4.5</v>
      </c>
      <c r="C208">
        <v>4.5</v>
      </c>
      <c r="D208" t="str">
        <f t="shared" si="6"/>
        <v>2025/01/29 20:00:00</v>
      </c>
      <c r="F208" t="str">
        <v>2025/01/29 20:00:00</v>
      </c>
      <c r="G208">
        <f t="shared" si="7"/>
        <v>45686</v>
      </c>
    </row>
    <row r="209" spans="1:7">
      <c r="A209" s="1">
        <v>45735</v>
      </c>
      <c r="B209">
        <v>4.5</v>
      </c>
      <c r="C209">
        <v>4.5</v>
      </c>
      <c r="D209" t="str">
        <f t="shared" si="6"/>
        <v>2025/03/19 19:00:00</v>
      </c>
      <c r="F209" t="str">
        <v>2025/03/19 19:00:00</v>
      </c>
      <c r="G209">
        <f t="shared" si="7"/>
        <v>45735</v>
      </c>
    </row>
    <row r="210" spans="1:7">
      <c r="A210" s="1">
        <v>45784</v>
      </c>
      <c r="B210">
        <v>4.5</v>
      </c>
      <c r="C210">
        <v>4.5</v>
      </c>
      <c r="D210" t="str">
        <f t="shared" si="6"/>
        <v>2025/05/07 20:00:00</v>
      </c>
      <c r="F210" t="str">
        <v>2025/05/07 20:00:00</v>
      </c>
      <c r="G210">
        <f t="shared" si="7"/>
        <v>45784</v>
      </c>
    </row>
    <row r="211" spans="1:7">
      <c r="A211" s="1">
        <v>45826</v>
      </c>
      <c r="B211">
        <v>4.5</v>
      </c>
      <c r="C211">
        <v>4.5</v>
      </c>
      <c r="D211" t="str">
        <f t="shared" si="6"/>
        <v>2025/06/18 20:00:00</v>
      </c>
      <c r="F211" t="str">
        <v>2025/06/18 20:00:00</v>
      </c>
      <c r="G211">
        <f t="shared" si="7"/>
        <v>45826</v>
      </c>
    </row>
    <row r="212" spans="1:7">
      <c r="A212" s="1">
        <v>45868</v>
      </c>
      <c r="B212">
        <v>4.5</v>
      </c>
      <c r="C212">
        <v>4.5</v>
      </c>
      <c r="D212" t="str">
        <f t="shared" si="6"/>
        <v>2025/07/30 20:00:00</v>
      </c>
      <c r="F212" t="str">
        <v>2025/07/30 20:00:00</v>
      </c>
      <c r="G212">
        <f t="shared" si="7"/>
        <v>45868</v>
      </c>
    </row>
    <row r="213" spans="1:7">
      <c r="A213" s="1">
        <v>45917</v>
      </c>
      <c r="B213">
        <v>4.25</v>
      </c>
      <c r="C213">
        <v>4.25</v>
      </c>
      <c r="D213" t="str">
        <f t="shared" si="6"/>
        <v>2025/09/17 20:00:00</v>
      </c>
      <c r="F213" t="str">
        <v>2025/09/17 20:00:00</v>
      </c>
      <c r="G213">
        <f t="shared" si="7"/>
        <v>45917</v>
      </c>
    </row>
    <row r="214" spans="1:7">
      <c r="A214" s="1">
        <v>45959</v>
      </c>
      <c r="B214">
        <v>4</v>
      </c>
      <c r="C214">
        <v>4</v>
      </c>
      <c r="D214" t="str">
        <f t="shared" si="6"/>
        <v>2025/10/29 19:00:00</v>
      </c>
      <c r="F214" t="str">
        <v>2025/10/29 19:00:00</v>
      </c>
      <c r="G214">
        <f t="shared" si="7"/>
        <v>45959</v>
      </c>
    </row>
    <row r="215" spans="1:7">
      <c r="A215" s="1">
        <v>46001</v>
      </c>
      <c r="B215">
        <v>3.75</v>
      </c>
      <c r="C215">
        <v>3.75</v>
      </c>
      <c r="D215" t="str">
        <f t="shared" si="6"/>
        <v>2025/12/10 20:00:00</v>
      </c>
      <c r="F215" t="str">
        <v>2025/12/10 20:00:00</v>
      </c>
      <c r="G215">
        <f t="shared" si="7"/>
        <v>46001</v>
      </c>
    </row>
    <row r="216" spans="1:7">
      <c r="A216" s="1">
        <v>46050</v>
      </c>
      <c r="B216">
        <v>3.75</v>
      </c>
      <c r="C216">
        <v>3.75</v>
      </c>
      <c r="D216" t="str">
        <f t="shared" si="6"/>
        <v>2026/01/28 20:00:00</v>
      </c>
      <c r="F216" t="str">
        <v>2026/01/28 20:00:00</v>
      </c>
      <c r="G216">
        <f t="shared" si="7"/>
        <v>46050</v>
      </c>
    </row>
    <row r="217" spans="1:7">
      <c r="A217" s="1">
        <v>46099</v>
      </c>
      <c r="B217">
        <v>3.75</v>
      </c>
      <c r="C217">
        <v>3.75</v>
      </c>
      <c r="D217" t="str">
        <f t="shared" si="6"/>
        <v>2026/03/18 19:00:00</v>
      </c>
      <c r="F217" t="str">
        <v>2026/03/18 19:00:00</v>
      </c>
      <c r="G217">
        <f t="shared" si="7"/>
        <v>46099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dcafdf-6d45-4e12-8512-8280e6a09d88}" enabled="1" method="Standard" siteId="{9e3ee5fe-3a99-45db-ac6e-691e86febe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cpi_yoy</vt:lpstr>
      <vt:lpstr>unempl_rate</vt:lpstr>
      <vt:lpstr>gdp</vt:lpstr>
      <vt:lpstr>NFP</vt:lpstr>
      <vt:lpstr>bus_cond</vt:lpstr>
      <vt:lpstr>cb_target_rate</vt:lpstr>
    </vt:vector>
  </TitlesOfParts>
  <Company>PGGM N.V.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Zoons, Axel</dc:creator>
  <cp:lastModifiedBy>Zoons, Axel</cp:lastModifiedBy>
  <dcterms:created xsi:type="dcterms:W3CDTF">2026-03-19T13:39:34Z</dcterms:created>
  <dcterms:modified xsi:type="dcterms:W3CDTF">2026-04-13T13:37:52Z</dcterms:modified>
</cp:coreProperties>
</file>